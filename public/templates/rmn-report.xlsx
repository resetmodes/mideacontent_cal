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name="부쉐론" sheetId="1" state="visible" r:id="rId1"/>
  </sheets>
  <definedNames>
    <definedName name="_xlnm.Print_Titles" localSheetId="0">'부쉐론'!$1:$3</definedName>
    <definedName name="_xlnm.Print_Area" localSheetId="0">'부쉐론'!$A$1:$CB$151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_-;\-* #,##0_-;_-* &quot;-&quot;??_-;_-@_-"/>
    <numFmt numFmtId="166" formatCode="_-* #,##0.0_-;\-* #,##0.0_-;_-* &quot;-&quot;_-;_-@_-"/>
    <numFmt numFmtId="167" formatCode="m&quot;/&quot;d;@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color rgb="FF000000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color theme="1"/>
      <sz val="12"/>
    </font>
    <font>
      <name val="맑은 고딕"/>
      <charset val="129"/>
      <family val="3"/>
      <color rgb="FF3C3C3C"/>
      <sz val="12"/>
    </font>
    <font>
      <name val="맑은 고딕"/>
      <charset val="129"/>
      <family val="3"/>
      <b val="1"/>
      <color theme="1"/>
      <sz val="16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  <font>
      <name val="Arial"/>
      <family val="2"/>
      <color theme="1"/>
      <sz val="10"/>
    </font>
    <font>
      <name val="맑은 고딕"/>
      <charset val="129"/>
      <family val="3"/>
      <b val="1"/>
      <color theme="0"/>
      <sz val="12"/>
    </font>
    <font>
      <name val="맑은 고딕"/>
      <charset val="129"/>
      <family val="3"/>
      <sz val="12"/>
    </font>
    <font>
      <name val="맑은 고딕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 diagonalDown="1"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Down="1"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 diagonalDown="1">
      <left/>
      <right/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 diagonalDown="1"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2" fillId="0" borderId="0" applyAlignment="1">
      <alignment vertical="center"/>
    </xf>
    <xf numFmtId="164" fontId="2" fillId="0" borderId="0" applyAlignment="1">
      <alignment vertical="center"/>
    </xf>
    <xf numFmtId="0" fontId="4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Continuous" vertical="center"/>
    </xf>
    <xf numFmtId="0" fontId="8" fillId="0" borderId="1" applyAlignment="1" pivotButton="0" quotePrefix="0" xfId="0">
      <alignment horizontal="centerContinuous" vertical="center"/>
    </xf>
    <xf numFmtId="0" fontId="7" fillId="2" borderId="9" applyAlignment="1" pivotButton="0" quotePrefix="0" xfId="0">
      <alignment horizontal="centerContinuous" vertical="center"/>
    </xf>
    <xf numFmtId="0" fontId="7" fillId="2" borderId="1" applyAlignment="1" pivotButton="0" quotePrefix="0" xfId="0">
      <alignment horizontal="centerContinuous" vertical="center"/>
    </xf>
    <xf numFmtId="0" fontId="7" fillId="2" borderId="10" applyAlignment="1" pivotButton="0" quotePrefix="0" xfId="0">
      <alignment horizontal="centerContinuous" vertical="center"/>
    </xf>
    <xf numFmtId="164" fontId="8" fillId="0" borderId="1" applyAlignment="1" pivotButton="0" quotePrefix="0" xfId="1">
      <alignment horizontal="centerContinuous" vertical="center"/>
    </xf>
    <xf numFmtId="0" fontId="8" fillId="0" borderId="1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164" fontId="8" fillId="0" borderId="0" applyAlignment="1" pivotButton="0" quotePrefix="0" xfId="1">
      <alignment horizontal="centerContinuous" vertical="center"/>
    </xf>
    <xf numFmtId="14" fontId="8" fillId="0" borderId="1" applyAlignment="1" pivotButton="0" quotePrefix="0" xfId="0">
      <alignment horizontal="centerContinuous" vertical="center"/>
    </xf>
    <xf numFmtId="14" fontId="8" fillId="0" borderId="1" applyAlignment="1" pivotButton="0" quotePrefix="1" xfId="0">
      <alignment horizontal="centerContinuous" vertical="center"/>
    </xf>
    <xf numFmtId="0" fontId="13" fillId="0" borderId="17" applyAlignment="1" pivotButton="0" quotePrefix="0" xfId="0">
      <alignment horizontal="right" wrapText="1"/>
    </xf>
    <xf numFmtId="164" fontId="8" fillId="0" borderId="0" applyAlignment="1" pivotButton="0" quotePrefix="0" xfId="1">
      <alignment vertical="center"/>
    </xf>
    <xf numFmtId="3" fontId="13" fillId="0" borderId="17" applyAlignment="1" pivotButton="0" quotePrefix="0" xfId="0">
      <alignment horizontal="right" wrapText="1"/>
    </xf>
    <xf numFmtId="165" fontId="8" fillId="0" borderId="0" applyAlignment="1" pivotButton="0" quotePrefix="0" xfId="1">
      <alignment horizontal="center" vertical="center"/>
    </xf>
    <xf numFmtId="164" fontId="8" fillId="0" borderId="0" applyAlignment="1" pivotButton="0" quotePrefix="0" xfId="1">
      <alignment horizontal="center" vertical="center"/>
    </xf>
    <xf numFmtId="166" fontId="8" fillId="0" borderId="0" applyAlignment="1" pivotButton="0" quotePrefix="0" xfId="1">
      <alignment horizontal="center" vertical="center"/>
    </xf>
    <xf numFmtId="164" fontId="8" fillId="0" borderId="0" applyAlignment="1" pivotButton="0" quotePrefix="0" xfId="1">
      <alignment horizontal="center" vertical="center"/>
    </xf>
    <xf numFmtId="3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Continuous" vertical="center"/>
    </xf>
    <xf numFmtId="0" fontId="12" fillId="0" borderId="0" applyAlignment="1" pivotButton="0" quotePrefix="0" xfId="0">
      <alignment horizontal="right"/>
    </xf>
    <xf numFmtId="0" fontId="13" fillId="0" borderId="17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wrapText="1"/>
    </xf>
    <xf numFmtId="3" fontId="13" fillId="0" borderId="0" applyAlignment="1" pivotButton="0" quotePrefix="0" xfId="0">
      <alignment horizontal="right" wrapText="1"/>
    </xf>
    <xf numFmtId="167" fontId="8" fillId="0" borderId="0" applyAlignment="1" pivotButton="0" quotePrefix="1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vertical="center"/>
    </xf>
    <xf numFmtId="3" fontId="13" fillId="0" borderId="17" applyAlignment="1" pivotButton="0" quotePrefix="0" xfId="0">
      <alignment horizontal="right" vertical="center" wrapText="1"/>
    </xf>
    <xf numFmtId="164" fontId="8" fillId="0" borderId="18" applyAlignment="1" pivotButton="0" quotePrefix="0" xfId="1">
      <alignment horizontal="center" vertical="center"/>
    </xf>
    <xf numFmtId="164" fontId="8" fillId="0" borderId="19" applyAlignment="1" pivotButton="0" quotePrefix="0" xfId="1">
      <alignment horizontal="center" vertical="center"/>
    </xf>
    <xf numFmtId="164" fontId="8" fillId="0" borderId="20" applyAlignment="1" pivotButton="0" quotePrefix="0" xfId="1">
      <alignment horizontal="center" vertical="center"/>
    </xf>
    <xf numFmtId="167" fontId="8" fillId="0" borderId="9" applyAlignment="1" pivotButton="0" quotePrefix="1" xfId="0">
      <alignment horizontal="center" vertical="center"/>
    </xf>
    <xf numFmtId="167" fontId="8" fillId="0" borderId="10" applyAlignment="1" pivotButton="0" quotePrefix="0" xfId="0">
      <alignment horizontal="center" vertical="center"/>
    </xf>
    <xf numFmtId="167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165" fontId="8" fillId="0" borderId="1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/>
    </xf>
    <xf numFmtId="166" fontId="8" fillId="0" borderId="9" applyAlignment="1" pivotButton="0" quotePrefix="0" xfId="1">
      <alignment horizontal="center" vertical="center"/>
    </xf>
    <xf numFmtId="166" fontId="8" fillId="0" borderId="10" applyAlignment="1" pivotButton="0" quotePrefix="0" xfId="1">
      <alignment horizontal="center" vertical="center"/>
    </xf>
    <xf numFmtId="166" fontId="8" fillId="0" borderId="11" applyAlignment="1" pivotButton="0" quotePrefix="0" xfId="1">
      <alignment horizontal="center" vertical="center"/>
    </xf>
    <xf numFmtId="166" fontId="8" fillId="0" borderId="1" applyAlignment="1" pivotButton="0" quotePrefix="0" xfId="1">
      <alignment horizontal="center" vertical="center"/>
    </xf>
    <xf numFmtId="164" fontId="8" fillId="0" borderId="16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/>
    </xf>
    <xf numFmtId="164" fontId="14" fillId="3" borderId="1" applyAlignment="1" pivotButton="0" quotePrefix="0" xfId="1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166" fontId="14" fillId="3" borderId="9" applyAlignment="1" pivotButton="0" quotePrefix="0" xfId="1">
      <alignment horizontal="center" vertical="center"/>
    </xf>
    <xf numFmtId="166" fontId="14" fillId="3" borderId="10" applyAlignment="1" pivotButton="0" quotePrefix="0" xfId="1">
      <alignment horizontal="center" vertical="center"/>
    </xf>
    <xf numFmtId="166" fontId="14" fillId="3" borderId="1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6" fontId="8" fillId="0" borderId="1" applyAlignment="1" pivotButton="0" quotePrefix="0" xfId="1">
      <alignment horizontal="center" vertical="center"/>
    </xf>
    <xf numFmtId="164" fontId="8" fillId="0" borderId="9" applyAlignment="1" pivotButton="0" quotePrefix="0" xfId="1">
      <alignment horizontal="center" vertical="center"/>
    </xf>
    <xf numFmtId="164" fontId="8" fillId="0" borderId="10" applyAlignment="1" pivotButton="0" quotePrefix="0" xfId="1">
      <alignment horizontal="center" vertical="center"/>
    </xf>
    <xf numFmtId="164" fontId="8" fillId="0" borderId="11" applyAlignment="1" pivotButton="0" quotePrefix="0" xfId="1">
      <alignment horizontal="center" vertical="center"/>
    </xf>
    <xf numFmtId="164" fontId="15" fillId="0" borderId="1" applyAlignment="1" pivotButton="0" quotePrefix="0" xfId="1">
      <alignment horizontal="center" vertical="center"/>
    </xf>
    <xf numFmtId="164" fontId="8" fillId="0" borderId="16" applyAlignment="1" pivotButton="0" quotePrefix="0" xfId="1">
      <alignment horizontal="center" vertical="center"/>
    </xf>
    <xf numFmtId="166" fontId="8" fillId="0" borderId="16" applyAlignment="1" pivotButton="0" quotePrefix="0" xfId="1">
      <alignment horizontal="center" vertical="center"/>
    </xf>
    <xf numFmtId="164" fontId="14" fillId="3" borderId="16" applyAlignment="1" pivotButton="0" quotePrefix="0" xfId="1">
      <alignment horizontal="center" vertical="center"/>
    </xf>
    <xf numFmtId="166" fontId="14" fillId="3" borderId="18" applyAlignment="1" pivotButton="0" quotePrefix="0" xfId="1">
      <alignment horizontal="center" vertical="center"/>
    </xf>
    <xf numFmtId="166" fontId="14" fillId="3" borderId="19" applyAlignment="1" pivotButton="0" quotePrefix="0" xfId="1">
      <alignment horizontal="center" vertical="center"/>
    </xf>
    <xf numFmtId="166" fontId="14" fillId="3" borderId="20" applyAlignment="1" pivotButton="0" quotePrefix="0" xfId="1">
      <alignment horizontal="center" vertical="center"/>
    </xf>
    <xf numFmtId="165" fontId="8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6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indent="1"/>
    </xf>
    <xf numFmtId="0" fontId="8" fillId="0" borderId="2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6" fontId="8" fillId="0" borderId="16" applyAlignment="1" pivotButton="0" quotePrefix="0" xfId="1">
      <alignment horizontal="center" vertical="center"/>
    </xf>
    <xf numFmtId="166" fontId="14" fillId="3" borderId="1" applyAlignment="1" pivotButton="0" quotePrefix="0" xfId="1">
      <alignment horizontal="center" vertical="center"/>
    </xf>
    <xf numFmtId="0" fontId="8" fillId="0" borderId="9" applyAlignment="1" pivotButton="0" quotePrefix="1" xfId="0">
      <alignment horizontal="left" vertical="center" indent="2"/>
    </xf>
    <xf numFmtId="0" fontId="8" fillId="0" borderId="10" applyAlignment="1" pivotButton="0" quotePrefix="1" xfId="0">
      <alignment horizontal="left" vertical="center" indent="2"/>
    </xf>
    <xf numFmtId="0" fontId="8" fillId="0" borderId="11" applyAlignment="1" pivotButton="0" quotePrefix="1" xfId="0">
      <alignment horizontal="left" vertical="center" indent="2"/>
    </xf>
    <xf numFmtId="0" fontId="7" fillId="2" borderId="9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164" fontId="8" fillId="0" borderId="9" applyAlignment="1" pivotButton="0" quotePrefix="0" xfId="1">
      <alignment horizontal="center" vertical="center"/>
    </xf>
    <xf numFmtId="164" fontId="8" fillId="0" borderId="10" applyAlignment="1" pivotButton="0" quotePrefix="0" xfId="1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10" fillId="2" borderId="12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 indent="2"/>
    </xf>
    <xf numFmtId="0" fontId="8" fillId="0" borderId="10" applyAlignment="1" pivotButton="0" quotePrefix="0" xfId="0">
      <alignment horizontal="left" vertical="center" indent="2"/>
    </xf>
    <xf numFmtId="0" fontId="8" fillId="0" borderId="11" applyAlignment="1" pivotButton="0" quotePrefix="0" xfId="0">
      <alignment horizontal="left" vertical="center" indent="2"/>
    </xf>
    <xf numFmtId="0" fontId="9" fillId="0" borderId="9" applyAlignment="1" pivotButton="0" quotePrefix="0" xfId="2">
      <alignment horizontal="left" vertical="center" wrapText="1" indent="2"/>
    </xf>
    <xf numFmtId="0" fontId="9" fillId="0" borderId="10" applyAlignment="1" pivotButton="0" quotePrefix="0" xfId="2">
      <alignment horizontal="left" vertical="center" wrapText="1" indent="2"/>
    </xf>
    <xf numFmtId="0" fontId="9" fillId="0" borderId="11" applyAlignment="1" pivotButton="0" quotePrefix="0" xfId="2">
      <alignment horizontal="left" vertical="center" wrapText="1" indent="2"/>
    </xf>
    <xf numFmtId="0" fontId="0" fillId="0" borderId="0" pivotButton="0" quotePrefix="0" xfId="0"/>
    <xf numFmtId="0" fontId="0" fillId="0" borderId="12" pivotButton="0" quotePrefix="0" xfId="0"/>
    <xf numFmtId="0" fontId="8" fillId="0" borderId="1" applyAlignment="1" pivotButton="0" quotePrefix="0" xfId="0">
      <alignment horizontal="left" vertical="center" indent="2"/>
    </xf>
    <xf numFmtId="0" fontId="0" fillId="0" borderId="10" pivotButton="0" quotePrefix="0" xfId="0"/>
    <xf numFmtId="0" fontId="0" fillId="0" borderId="11" pivotButton="0" quotePrefix="0" xfId="0"/>
    <xf numFmtId="0" fontId="9" fillId="0" borderId="1" applyAlignment="1" pivotButton="0" quotePrefix="0" xfId="2">
      <alignment horizontal="left" vertical="center" wrapText="1" indent="2"/>
    </xf>
    <xf numFmtId="0" fontId="8" fillId="0" borderId="1" applyAlignment="1" pivotButton="0" quotePrefix="1" xfId="0">
      <alignment horizontal="left" vertical="center" indent="2"/>
    </xf>
    <xf numFmtId="164" fontId="8" fillId="0" borderId="1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Continuous" vertical="center"/>
    </xf>
    <xf numFmtId="164" fontId="8" fillId="0" borderId="0" applyAlignment="1" pivotButton="0" quotePrefix="0" xfId="1">
      <alignment horizontal="centerContinuous" vertical="center"/>
    </xf>
    <xf numFmtId="164" fontId="14" fillId="3" borderId="1" applyAlignment="1" pivotButton="0" quotePrefix="0" xfId="1">
      <alignment horizontal="center" vertical="center"/>
    </xf>
    <xf numFmtId="166" fontId="14" fillId="3" borderId="1" applyAlignment="1" pivotButton="0" quotePrefix="0" xfId="1">
      <alignment horizontal="center" vertical="center"/>
    </xf>
    <xf numFmtId="164" fontId="8" fillId="0" borderId="0" applyAlignment="1" pivotButton="0" quotePrefix="0" xfId="1">
      <alignment vertical="center"/>
    </xf>
    <xf numFmtId="164" fontId="8" fillId="0" borderId="16" applyAlignment="1" pivotButton="0" quotePrefix="0" xfId="1">
      <alignment horizontal="center" vertical="center"/>
    </xf>
    <xf numFmtId="166" fontId="8" fillId="0" borderId="16" applyAlignment="1" pivotButton="0" quotePrefix="0" xfId="1">
      <alignment horizontal="center" vertical="center"/>
    </xf>
    <xf numFmtId="0" fontId="0" fillId="0" borderId="21" pivotButton="0" quotePrefix="0" xfId="0"/>
    <xf numFmtId="166" fontId="8" fillId="0" borderId="1" applyAlignment="1" pivotButton="0" quotePrefix="0" xfId="1">
      <alignment horizontal="center" vertical="center"/>
    </xf>
    <xf numFmtId="0" fontId="0" fillId="0" borderId="2" pivotButton="0" quotePrefix="0" xfId="0"/>
    <xf numFmtId="167" fontId="8" fillId="0" borderId="1" applyAlignment="1" pivotButton="0" quotePrefix="1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1">
      <alignment horizontal="center" vertical="center"/>
    </xf>
    <xf numFmtId="164" fontId="14" fillId="3" borderId="16" applyAlignment="1" pivotButton="0" quotePrefix="0" xfId="1">
      <alignment horizontal="center" vertical="center"/>
    </xf>
    <xf numFmtId="166" fontId="14" fillId="3" borderId="16" applyAlignment="1" pivotButton="0" quotePrefix="0" xfId="1">
      <alignment horizontal="center" vertical="center"/>
    </xf>
    <xf numFmtId="167" fontId="8" fillId="0" borderId="0" applyAlignment="1" pivotButton="0" quotePrefix="1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1">
      <alignment horizontal="center" vertical="center"/>
    </xf>
    <xf numFmtId="164" fontId="8" fillId="0" borderId="0" applyAlignment="1" pivotButton="0" quotePrefix="0" xfId="1">
      <alignment horizontal="center" vertical="center"/>
    </xf>
    <xf numFmtId="166" fontId="8" fillId="0" borderId="0" applyAlignment="1" pivotButton="0" quotePrefix="0" xfId="1">
      <alignment horizontal="center" vertical="center"/>
    </xf>
    <xf numFmtId="164" fontId="15" fillId="0" borderId="1" applyAlignment="1" pivotButton="0" quotePrefix="0" xfId="1">
      <alignment horizontal="center" vertical="center"/>
    </xf>
  </cellXfs>
  <cellStyles count="3">
    <cellStyle name="표준" xfId="0" builtinId="0"/>
    <cellStyle name="쉼표 [0]" xfId="1" builtinId="6"/>
    <cellStyle name="표준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W160"/>
  <sheetViews>
    <sheetView tabSelected="1" view="pageBreakPreview" zoomScale="156" zoomScaleNormal="85" zoomScaleSheetLayoutView="70" workbookViewId="0">
      <selection activeCell="B1" sqref="B1"/>
    </sheetView>
  </sheetViews>
  <sheetFormatPr baseColWidth="10" defaultColWidth="1.6640625" defaultRowHeight="22" customHeight="1"/>
  <cols>
    <col width="1.6640625" customWidth="1" style="3" min="1" max="66"/>
    <col hidden="1" style="3" min="67" max="69"/>
    <col hidden="1" width="1.6640625" customWidth="1" style="3" min="70" max="71"/>
    <col hidden="1" width="12.6640625" customWidth="1" style="3" min="72" max="74"/>
    <col hidden="1" width="1.6640625" customWidth="1" style="3" min="75" max="80"/>
    <col hidden="1" style="3" min="81" max="83"/>
    <col width="1.6640625" customWidth="1" style="3" min="84" max="16384"/>
  </cols>
  <sheetData>
    <row r="2" ht="48" customHeight="1" s="100">
      <c r="A2" s="30" t="n"/>
      <c r="B2" s="30" t="n"/>
      <c r="C2" s="93" t="inlineStr">
        <is>
          <t xml:space="preserve">[ 현대백화점 광고 결과 리포트 ] </t>
        </is>
      </c>
      <c r="D2" s="101" t="n"/>
      <c r="E2" s="101" t="n"/>
      <c r="F2" s="101" t="n"/>
      <c r="G2" s="101" t="n"/>
      <c r="H2" s="101" t="n"/>
      <c r="I2" s="101" t="n"/>
      <c r="J2" s="101" t="n"/>
      <c r="K2" s="101" t="n"/>
      <c r="L2" s="101" t="n"/>
      <c r="M2" s="101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  <c r="Y2" s="101" t="n"/>
      <c r="Z2" s="101" t="n"/>
      <c r="AA2" s="101" t="n"/>
      <c r="AB2" s="101" t="n"/>
      <c r="AC2" s="101" t="n"/>
      <c r="AD2" s="101" t="n"/>
      <c r="AE2" s="101" t="n"/>
      <c r="AF2" s="101" t="n"/>
      <c r="AG2" s="101" t="n"/>
      <c r="AH2" s="101" t="n"/>
      <c r="AI2" s="101" t="n"/>
      <c r="AJ2" s="101" t="n"/>
      <c r="AK2" s="101" t="n"/>
      <c r="AL2" s="101" t="n"/>
      <c r="AM2" s="101" t="n"/>
      <c r="AN2" s="101" t="n"/>
      <c r="AO2" s="101" t="n"/>
      <c r="AP2" s="101" t="n"/>
      <c r="AQ2" s="101" t="n"/>
      <c r="AR2" s="101" t="n"/>
      <c r="AS2" s="101" t="n"/>
      <c r="AT2" s="101" t="n"/>
      <c r="AU2" s="101" t="n"/>
      <c r="AV2" s="101" t="n"/>
      <c r="AW2" s="101" t="n"/>
      <c r="AX2" s="101" t="n"/>
      <c r="AY2" s="101" t="n"/>
      <c r="AZ2" s="101" t="n"/>
      <c r="BA2" s="101" t="n"/>
      <c r="BB2" s="101" t="n"/>
      <c r="BC2" s="101" t="n"/>
      <c r="BD2" s="101" t="n"/>
      <c r="BE2" s="101" t="n"/>
      <c r="BF2" s="101" t="n"/>
      <c r="BG2" s="101" t="n"/>
      <c r="BH2" s="101" t="n"/>
      <c r="BI2" s="101" t="n"/>
      <c r="BJ2" s="101" t="n"/>
      <c r="BK2" s="101" t="n"/>
      <c r="BL2" s="101" t="n"/>
    </row>
    <row r="4" ht="22" customHeight="1" s="100">
      <c r="C4" s="1" t="inlineStr">
        <is>
          <t>1. 광고 개요</t>
        </is>
      </c>
    </row>
    <row r="5" ht="10" customHeight="1" s="100"/>
    <row r="6" ht="22" customHeight="1" s="100">
      <c r="E6" s="6" t="inlineStr">
        <is>
          <t>광고주명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102" t="inlineStr">
        <is>
          <t>(광고주명)</t>
        </is>
      </c>
      <c r="Q6" s="103" t="n"/>
      <c r="R6" s="103" t="n"/>
      <c r="S6" s="103" t="n"/>
      <c r="T6" s="103" t="n"/>
      <c r="U6" s="103" t="n"/>
      <c r="V6" s="103" t="n"/>
      <c r="W6" s="103" t="n"/>
      <c r="X6" s="103" t="n"/>
      <c r="Y6" s="103" t="n"/>
      <c r="Z6" s="103" t="n"/>
      <c r="AA6" s="103" t="n"/>
      <c r="AB6" s="103" t="n"/>
      <c r="AC6" s="103" t="n"/>
      <c r="AD6" s="103" t="n"/>
      <c r="AE6" s="103" t="n"/>
      <c r="AF6" s="103" t="n"/>
      <c r="AG6" s="103" t="n"/>
      <c r="AH6" s="103" t="n"/>
      <c r="AI6" s="103" t="n"/>
      <c r="AJ6" s="103" t="n"/>
      <c r="AK6" s="103" t="n"/>
      <c r="AL6" s="103" t="n"/>
      <c r="AM6" s="103" t="n"/>
      <c r="AN6" s="103" t="n"/>
      <c r="AO6" s="103" t="n"/>
      <c r="AP6" s="103" t="n"/>
      <c r="AQ6" s="103" t="n"/>
      <c r="AR6" s="103" t="n"/>
      <c r="AS6" s="103" t="n"/>
      <c r="AT6" s="103" t="n"/>
      <c r="AU6" s="103" t="n"/>
      <c r="AV6" s="103" t="n"/>
      <c r="AW6" s="103" t="n"/>
      <c r="AX6" s="103" t="n"/>
      <c r="AY6" s="103" t="n"/>
      <c r="AZ6" s="103" t="n"/>
      <c r="BA6" s="103" t="n"/>
      <c r="BB6" s="103" t="n"/>
      <c r="BC6" s="103" t="n"/>
      <c r="BD6" s="103" t="n"/>
      <c r="BE6" s="103" t="n"/>
      <c r="BF6" s="103" t="n"/>
      <c r="BG6" s="103" t="n"/>
      <c r="BH6" s="103" t="n"/>
      <c r="BI6" s="103" t="n"/>
      <c r="BJ6" s="104" t="n"/>
    </row>
    <row r="7" ht="22" customHeight="1" s="100">
      <c r="E7" s="6" t="inlineStr">
        <is>
          <t>광고기간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105" t="inlineStr">
        <is>
          <t>(기간)</t>
        </is>
      </c>
      <c r="Q7" s="103" t="n"/>
      <c r="R7" s="103" t="n"/>
      <c r="S7" s="103" t="n"/>
      <c r="T7" s="103" t="n"/>
      <c r="U7" s="103" t="n"/>
      <c r="V7" s="103" t="n"/>
      <c r="W7" s="103" t="n"/>
      <c r="X7" s="103" t="n"/>
      <c r="Y7" s="103" t="n"/>
      <c r="Z7" s="103" t="n"/>
      <c r="AA7" s="103" t="n"/>
      <c r="AB7" s="103" t="n"/>
      <c r="AC7" s="103" t="n"/>
      <c r="AD7" s="103" t="n"/>
      <c r="AE7" s="103" t="n"/>
      <c r="AF7" s="103" t="n"/>
      <c r="AG7" s="103" t="n"/>
      <c r="AH7" s="103" t="n"/>
      <c r="AI7" s="103" t="n"/>
      <c r="AJ7" s="103" t="n"/>
      <c r="AK7" s="103" t="n"/>
      <c r="AL7" s="103" t="n"/>
      <c r="AM7" s="103" t="n"/>
      <c r="AN7" s="103" t="n"/>
      <c r="AO7" s="103" t="n"/>
      <c r="AP7" s="103" t="n"/>
      <c r="AQ7" s="103" t="n"/>
      <c r="AR7" s="103" t="n"/>
      <c r="AS7" s="103" t="n"/>
      <c r="AT7" s="103" t="n"/>
      <c r="AU7" s="103" t="n"/>
      <c r="AV7" s="103" t="n"/>
      <c r="AW7" s="103" t="n"/>
      <c r="AX7" s="103" t="n"/>
      <c r="AY7" s="103" t="n"/>
      <c r="AZ7" s="103" t="n"/>
      <c r="BA7" s="103" t="n"/>
      <c r="BB7" s="103" t="n"/>
      <c r="BC7" s="103" t="n"/>
      <c r="BD7" s="103" t="n"/>
      <c r="BE7" s="103" t="n"/>
      <c r="BF7" s="103" t="n"/>
      <c r="BG7" s="103" t="n"/>
      <c r="BH7" s="103" t="n"/>
      <c r="BI7" s="103" t="n"/>
      <c r="BJ7" s="104" t="n"/>
    </row>
    <row r="8" ht="22" customHeight="1" s="100">
      <c r="E8" s="6" t="inlineStr">
        <is>
          <t>분석기간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105" t="inlineStr">
        <is>
          <t>(기간)</t>
        </is>
      </c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  <c r="AA8" s="103" t="n"/>
      <c r="AB8" s="103" t="n"/>
      <c r="AC8" s="103" t="n"/>
      <c r="AD8" s="103" t="n"/>
      <c r="AE8" s="103" t="n"/>
      <c r="AF8" s="103" t="n"/>
      <c r="AG8" s="103" t="n"/>
      <c r="AH8" s="103" t="n"/>
      <c r="AI8" s="103" t="n"/>
      <c r="AJ8" s="103" t="n"/>
      <c r="AK8" s="103" t="n"/>
      <c r="AL8" s="103" t="n"/>
      <c r="AM8" s="103" t="n"/>
      <c r="AN8" s="103" t="n"/>
      <c r="AO8" s="103" t="n"/>
      <c r="AP8" s="103" t="n"/>
      <c r="AQ8" s="103" t="n"/>
      <c r="AR8" s="103" t="n"/>
      <c r="AS8" s="103" t="n"/>
      <c r="AT8" s="103" t="n"/>
      <c r="AU8" s="103" t="n"/>
      <c r="AV8" s="103" t="n"/>
      <c r="AW8" s="103" t="n"/>
      <c r="AX8" s="103" t="n"/>
      <c r="AY8" s="103" t="n"/>
      <c r="AZ8" s="103" t="n"/>
      <c r="BA8" s="103" t="n"/>
      <c r="BB8" s="103" t="n"/>
      <c r="BC8" s="103" t="n"/>
      <c r="BD8" s="103" t="n"/>
      <c r="BE8" s="103" t="n"/>
      <c r="BF8" s="103" t="n"/>
      <c r="BG8" s="103" t="n"/>
      <c r="BH8" s="103" t="n"/>
      <c r="BI8" s="103" t="n"/>
      <c r="BJ8" s="104" t="n"/>
    </row>
    <row r="9" ht="22" customHeight="1" s="100"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 ht="22" customHeight="1" s="100">
      <c r="E10" s="6" t="inlineStr">
        <is>
          <t>매체(노출 채널)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102" t="inlineStr">
        <is>
          <t>현대백화점 APP</t>
        </is>
      </c>
      <c r="Q10" s="103" t="n"/>
      <c r="R10" s="103" t="n"/>
      <c r="S10" s="103" t="n"/>
      <c r="T10" s="103" t="n"/>
      <c r="U10" s="103" t="n"/>
      <c r="V10" s="103" t="n"/>
      <c r="W10" s="103" t="n"/>
      <c r="X10" s="103" t="n"/>
      <c r="Y10" s="103" t="n"/>
      <c r="Z10" s="103" t="n"/>
      <c r="AA10" s="103" t="n"/>
      <c r="AB10" s="103" t="n"/>
      <c r="AC10" s="103" t="n"/>
      <c r="AD10" s="103" t="n"/>
      <c r="AE10" s="103" t="n"/>
      <c r="AF10" s="103" t="n"/>
      <c r="AG10" s="103" t="n"/>
      <c r="AH10" s="103" t="n"/>
      <c r="AI10" s="103" t="n"/>
      <c r="AJ10" s="103" t="n"/>
      <c r="AK10" s="103" t="n"/>
      <c r="AL10" s="103" t="n"/>
      <c r="AM10" s="103" t="n"/>
      <c r="AN10" s="103" t="n"/>
      <c r="AO10" s="103" t="n"/>
      <c r="AP10" s="103" t="n"/>
      <c r="AQ10" s="103" t="n"/>
      <c r="AR10" s="103" t="n"/>
      <c r="AS10" s="103" t="n"/>
      <c r="AT10" s="103" t="n"/>
      <c r="AU10" s="103" t="n"/>
      <c r="AV10" s="103" t="n"/>
      <c r="AW10" s="103" t="n"/>
      <c r="AX10" s="103" t="n"/>
      <c r="AY10" s="103" t="n"/>
      <c r="AZ10" s="103" t="n"/>
      <c r="BA10" s="103" t="n"/>
      <c r="BB10" s="103" t="n"/>
      <c r="BC10" s="103" t="n"/>
      <c r="BD10" s="103" t="n"/>
      <c r="BE10" s="103" t="n"/>
      <c r="BF10" s="103" t="n"/>
      <c r="BG10" s="103" t="n"/>
      <c r="BH10" s="103" t="n"/>
      <c r="BI10" s="103" t="n"/>
      <c r="BJ10" s="104" t="n"/>
    </row>
    <row r="11" ht="22" customHeight="1" s="100">
      <c r="E11" s="6" t="inlineStr">
        <is>
          <t>판매 상품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102" t="inlineStr">
        <is>
          <t>(판매 상품)</t>
        </is>
      </c>
      <c r="Q11" s="103" t="n"/>
      <c r="R11" s="103" t="n"/>
      <c r="S11" s="103" t="n"/>
      <c r="T11" s="103" t="n"/>
      <c r="U11" s="103" t="n"/>
      <c r="V11" s="103" t="n"/>
      <c r="W11" s="103" t="n"/>
      <c r="X11" s="103" t="n"/>
      <c r="Y11" s="103" t="n"/>
      <c r="Z11" s="103" t="n"/>
      <c r="AA11" s="103" t="n"/>
      <c r="AB11" s="103" t="n"/>
      <c r="AC11" s="103" t="n"/>
      <c r="AD11" s="103" t="n"/>
      <c r="AE11" s="103" t="n"/>
      <c r="AF11" s="103" t="n"/>
      <c r="AG11" s="103" t="n"/>
      <c r="AH11" s="103" t="n"/>
      <c r="AI11" s="103" t="n"/>
      <c r="AJ11" s="103" t="n"/>
      <c r="AK11" s="103" t="n"/>
      <c r="AL11" s="103" t="n"/>
      <c r="AM11" s="103" t="n"/>
      <c r="AN11" s="103" t="n"/>
      <c r="AO11" s="103" t="n"/>
      <c r="AP11" s="103" t="n"/>
      <c r="AQ11" s="103" t="n"/>
      <c r="AR11" s="103" t="n"/>
      <c r="AS11" s="103" t="n"/>
      <c r="AT11" s="103" t="n"/>
      <c r="AU11" s="103" t="n"/>
      <c r="AV11" s="103" t="n"/>
      <c r="AW11" s="103" t="n"/>
      <c r="AX11" s="103" t="n"/>
      <c r="AY11" s="103" t="n"/>
      <c r="AZ11" s="103" t="n"/>
      <c r="BA11" s="103" t="n"/>
      <c r="BB11" s="103" t="n"/>
      <c r="BC11" s="103" t="n"/>
      <c r="BD11" s="103" t="n"/>
      <c r="BE11" s="103" t="n"/>
      <c r="BF11" s="103" t="n"/>
      <c r="BG11" s="103" t="n"/>
      <c r="BH11" s="103" t="n"/>
      <c r="BI11" s="103" t="n"/>
      <c r="BJ11" s="104" t="n"/>
    </row>
    <row r="12" ht="22" customHeight="1" s="100">
      <c r="E12" s="6" t="inlineStr">
        <is>
          <t>총 예산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106" t="inlineStr">
        <is>
          <t>(예산)</t>
        </is>
      </c>
      <c r="Q12" s="103" t="n"/>
      <c r="R12" s="103" t="n"/>
      <c r="S12" s="103" t="n"/>
      <c r="T12" s="103" t="n"/>
      <c r="U12" s="103" t="n"/>
      <c r="V12" s="103" t="n"/>
      <c r="W12" s="103" t="n"/>
      <c r="X12" s="103" t="n"/>
      <c r="Y12" s="103" t="n"/>
      <c r="Z12" s="103" t="n"/>
      <c r="AA12" s="103" t="n"/>
      <c r="AB12" s="103" t="n"/>
      <c r="AC12" s="103" t="n"/>
      <c r="AD12" s="103" t="n"/>
      <c r="AE12" s="103" t="n"/>
      <c r="AF12" s="103" t="n"/>
      <c r="AG12" s="103" t="n"/>
      <c r="AH12" s="103" t="n"/>
      <c r="AI12" s="103" t="n"/>
      <c r="AJ12" s="103" t="n"/>
      <c r="AK12" s="103" t="n"/>
      <c r="AL12" s="103" t="n"/>
      <c r="AM12" s="103" t="n"/>
      <c r="AN12" s="103" t="n"/>
      <c r="AO12" s="103" t="n"/>
      <c r="AP12" s="103" t="n"/>
      <c r="AQ12" s="103" t="n"/>
      <c r="AR12" s="103" t="n"/>
      <c r="AS12" s="103" t="n"/>
      <c r="AT12" s="103" t="n"/>
      <c r="AU12" s="103" t="n"/>
      <c r="AV12" s="103" t="n"/>
      <c r="AW12" s="103" t="n"/>
      <c r="AX12" s="103" t="n"/>
      <c r="AY12" s="103" t="n"/>
      <c r="AZ12" s="103" t="n"/>
      <c r="BA12" s="103" t="n"/>
      <c r="BB12" s="103" t="n"/>
      <c r="BC12" s="103" t="n"/>
      <c r="BD12" s="103" t="n"/>
      <c r="BE12" s="103" t="n"/>
      <c r="BF12" s="103" t="n"/>
      <c r="BG12" s="103" t="n"/>
      <c r="BH12" s="103" t="n"/>
      <c r="BI12" s="103" t="n"/>
      <c r="BJ12" s="104" t="n"/>
    </row>
    <row r="13" ht="22" customHeight="1" s="100">
      <c r="E13" s="31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</row>
    <row r="14" ht="22" customHeight="1" s="100">
      <c r="C14" s="1" t="inlineStr">
        <is>
          <t>2. 상품 상세</t>
        </is>
      </c>
      <c r="E14" s="31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</row>
    <row r="15" ht="10" customHeight="1" s="100"/>
    <row r="16" ht="22" customHeight="1" s="100">
      <c r="E16" s="7" t="inlineStr">
        <is>
          <t>상품 상세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inlineStr">
        <is>
          <t>집행 구좌</t>
        </is>
      </c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광고 소재</t>
        </is>
      </c>
      <c r="Y16" s="7" t="n"/>
      <c r="Z16" s="7" t="n"/>
      <c r="AA16" s="7" t="n"/>
      <c r="AB16" s="7" t="n"/>
      <c r="AC16" s="7" t="n"/>
      <c r="AD16" s="7" t="n"/>
      <c r="AE16" s="7" t="n"/>
      <c r="AF16" s="7" t="inlineStr">
        <is>
          <t>광고 기간</t>
        </is>
      </c>
      <c r="AG16" s="7" t="n"/>
      <c r="AH16" s="7" t="n"/>
      <c r="AI16" s="7" t="n"/>
      <c r="AJ16" s="7" t="n"/>
      <c r="AK16" s="7" t="n"/>
      <c r="AL16" s="7" t="n"/>
      <c r="AM16" s="7" t="n"/>
      <c r="AN16" s="7" t="inlineStr">
        <is>
          <t>과금(CPP)</t>
        </is>
      </c>
      <c r="AO16" s="7" t="n"/>
      <c r="AP16" s="7" t="n"/>
      <c r="AQ16" s="7" t="n"/>
      <c r="AR16" s="7" t="n"/>
      <c r="AS16" s="7" t="n"/>
      <c r="AT16" s="7" t="n"/>
      <c r="AU16" s="7" t="n"/>
      <c r="AV16" s="64" t="inlineStr">
        <is>
          <t>비 고</t>
        </is>
      </c>
      <c r="AW16" s="103" t="n"/>
      <c r="AX16" s="103" t="n"/>
      <c r="AY16" s="103" t="n"/>
      <c r="AZ16" s="103" t="n"/>
      <c r="BA16" s="103" t="n"/>
      <c r="BB16" s="103" t="n"/>
      <c r="BC16" s="103" t="n"/>
      <c r="BD16" s="103" t="n"/>
      <c r="BE16" s="103" t="n"/>
      <c r="BF16" s="103" t="n"/>
      <c r="BG16" s="103" t="n"/>
      <c r="BH16" s="103" t="n"/>
      <c r="BI16" s="103" t="n"/>
      <c r="BJ16" s="104" t="n"/>
    </row>
    <row r="17" ht="22" customHeight="1" s="100">
      <c r="E17" s="5" t="inlineStr">
        <is>
          <t>앱 스플래시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>
        <v>1</v>
      </c>
      <c r="Q17" s="5" t="n"/>
      <c r="R17" s="5" t="n"/>
      <c r="S17" s="5" t="n"/>
      <c r="T17" s="5" t="n"/>
      <c r="U17" s="5" t="n"/>
      <c r="V17" s="5" t="n"/>
      <c r="W17" s="5" t="n"/>
      <c r="X17" s="5" t="n">
        <v>1</v>
      </c>
      <c r="Y17" s="5" t="n"/>
      <c r="Z17" s="5" t="n"/>
      <c r="AA17" s="5" t="n"/>
      <c r="AB17" s="5" t="n"/>
      <c r="AC17" s="5" t="n"/>
      <c r="AD17" s="5" t="n"/>
      <c r="AE17" s="5" t="n"/>
      <c r="AF17" s="20" t="inlineStr">
        <is>
          <t>03/10 - 03/23</t>
        </is>
      </c>
      <c r="AG17" s="5" t="n"/>
      <c r="AH17" s="5" t="n"/>
      <c r="AI17" s="5" t="n"/>
      <c r="AJ17" s="5" t="n"/>
      <c r="AK17" s="5" t="n"/>
      <c r="AL17" s="5" t="n"/>
      <c r="AM17" s="5" t="n"/>
      <c r="AN17" s="107">
        <f>P29</f>
        <v/>
      </c>
      <c r="AO17" s="103" t="n"/>
      <c r="AP17" s="103" t="n"/>
      <c r="AQ17" s="103" t="n"/>
      <c r="AR17" s="103" t="n"/>
      <c r="AS17" s="103" t="n"/>
      <c r="AT17" s="103" t="n"/>
      <c r="AU17" s="104" t="n"/>
      <c r="AV17" s="10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2" t="n"/>
    </row>
    <row r="18" ht="22" customHeight="1" s="100">
      <c r="E18" s="5" t="inlineStr">
        <is>
          <t>앱 오픈 팝업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>
        <v>1</v>
      </c>
      <c r="Q18" s="5" t="n"/>
      <c r="R18" s="5" t="n"/>
      <c r="S18" s="5" t="n"/>
      <c r="T18" s="5" t="n"/>
      <c r="U18" s="5" t="n"/>
      <c r="V18" s="5" t="n"/>
      <c r="W18" s="5" t="n"/>
      <c r="X18" s="5" t="n">
        <v>1</v>
      </c>
      <c r="Y18" s="5" t="n"/>
      <c r="Z18" s="5" t="n"/>
      <c r="AA18" s="5" t="n"/>
      <c r="AB18" s="5" t="n"/>
      <c r="AC18" s="5" t="n"/>
      <c r="AD18" s="5" t="n"/>
      <c r="AE18" s="5" t="n"/>
      <c r="AF18" s="20" t="inlineStr">
        <is>
          <t>03/10 - 03/23</t>
        </is>
      </c>
      <c r="AG18" s="5" t="n"/>
      <c r="AH18" s="5" t="n"/>
      <c r="AI18" s="5" t="n"/>
      <c r="AJ18" s="5" t="n"/>
      <c r="AK18" s="5" t="n"/>
      <c r="AL18" s="5" t="n"/>
      <c r="AM18" s="5" t="n"/>
      <c r="AN18" s="108">
        <f>P30</f>
        <v/>
      </c>
      <c r="AO18" s="5" t="n"/>
      <c r="AP18" s="5" t="n"/>
      <c r="AQ18" s="5" t="n"/>
      <c r="AR18" s="5" t="n"/>
      <c r="AS18" s="5" t="n"/>
      <c r="AT18" s="5" t="n"/>
      <c r="AU18" s="5" t="n"/>
      <c r="AV18" s="13" t="n"/>
      <c r="BJ18" s="14" t="n"/>
    </row>
    <row r="19" ht="22" customHeight="1" s="100">
      <c r="E19" s="5" t="inlineStr">
        <is>
          <t>앱 메인 배너</t>
        </is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>
        <v>1</v>
      </c>
      <c r="Q19" s="5" t="n"/>
      <c r="R19" s="5" t="n"/>
      <c r="S19" s="5" t="n"/>
      <c r="T19" s="5" t="n"/>
      <c r="U19" s="5" t="n"/>
      <c r="V19" s="5" t="n"/>
      <c r="W19" s="5" t="n"/>
      <c r="X19" s="5" t="n">
        <v>1</v>
      </c>
      <c r="Y19" s="5" t="n"/>
      <c r="Z19" s="5" t="n"/>
      <c r="AA19" s="5" t="n"/>
      <c r="AB19" s="5" t="n"/>
      <c r="AC19" s="5" t="n"/>
      <c r="AD19" s="5" t="n"/>
      <c r="AE19" s="5" t="n"/>
      <c r="AF19" s="20" t="inlineStr">
        <is>
          <t>03/10 - 03/23</t>
        </is>
      </c>
      <c r="AG19" s="5" t="n"/>
      <c r="AH19" s="5" t="n"/>
      <c r="AI19" s="5" t="n"/>
      <c r="AJ19" s="5" t="n"/>
      <c r="AK19" s="5" t="n"/>
      <c r="AL19" s="5" t="n"/>
      <c r="AM19" s="5" t="n"/>
      <c r="AN19" s="108">
        <f>P31</f>
        <v/>
      </c>
      <c r="AO19" s="5" t="n"/>
      <c r="AP19" s="5" t="n"/>
      <c r="AQ19" s="5" t="n"/>
      <c r="AR19" s="5" t="n"/>
      <c r="AS19" s="5" t="n"/>
      <c r="AT19" s="5" t="n"/>
      <c r="AU19" s="5" t="n"/>
      <c r="AV19" s="13" t="n"/>
      <c r="BJ19" s="14" t="n"/>
    </row>
    <row r="20" ht="22" customHeight="1" s="100">
      <c r="E20" s="5" t="inlineStr">
        <is>
          <t>앱 하단 배너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>
        <v>1</v>
      </c>
      <c r="Q20" s="5" t="n"/>
      <c r="R20" s="5" t="n"/>
      <c r="S20" s="5" t="n"/>
      <c r="T20" s="5" t="n"/>
      <c r="U20" s="5" t="n"/>
      <c r="V20" s="5" t="n"/>
      <c r="W20" s="5" t="n"/>
      <c r="X20" s="5" t="n">
        <v>1</v>
      </c>
      <c r="Y20" s="5" t="n"/>
      <c r="Z20" s="5" t="n"/>
      <c r="AA20" s="5" t="n"/>
      <c r="AB20" s="5" t="n"/>
      <c r="AC20" s="5" t="n"/>
      <c r="AD20" s="5" t="n"/>
      <c r="AE20" s="5" t="n"/>
      <c r="AF20" s="20" t="inlineStr">
        <is>
          <t>03/10 - 03/23</t>
        </is>
      </c>
      <c r="AG20" s="5" t="n"/>
      <c r="AH20" s="5" t="n"/>
      <c r="AI20" s="5" t="n"/>
      <c r="AJ20" s="5" t="n"/>
      <c r="AK20" s="5" t="n"/>
      <c r="AL20" s="5" t="n"/>
      <c r="AM20" s="5" t="n"/>
      <c r="AN20" s="108">
        <f>P32</f>
        <v/>
      </c>
      <c r="AO20" s="5" t="n"/>
      <c r="AP20" s="5" t="n"/>
      <c r="AQ20" s="5" t="n"/>
      <c r="AR20" s="5" t="n"/>
      <c r="AS20" s="5" t="n"/>
      <c r="AT20" s="5" t="n"/>
      <c r="AU20" s="5" t="n"/>
      <c r="AV20" s="13" t="n"/>
      <c r="BJ20" s="14" t="n"/>
    </row>
    <row r="21" ht="22" customHeight="1" s="100">
      <c r="E21" s="5" t="inlineStr">
        <is>
          <t>앱 헤드라인 뉴스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>
        <v>1</v>
      </c>
      <c r="Q21" s="5" t="n"/>
      <c r="R21" s="5" t="n"/>
      <c r="S21" s="5" t="n"/>
      <c r="T21" s="5" t="n"/>
      <c r="U21" s="5" t="n"/>
      <c r="V21" s="5" t="n"/>
      <c r="W21" s="5" t="n"/>
      <c r="X21" s="5" t="n">
        <v>1</v>
      </c>
      <c r="Y21" s="5" t="n"/>
      <c r="Z21" s="5" t="n"/>
      <c r="AA21" s="5" t="n"/>
      <c r="AB21" s="5" t="n"/>
      <c r="AC21" s="5" t="n"/>
      <c r="AD21" s="5" t="n"/>
      <c r="AE21" s="5" t="n"/>
      <c r="AF21" s="19">
        <f>AF18</f>
        <v/>
      </c>
      <c r="AG21" s="5" t="n"/>
      <c r="AH21" s="5" t="n"/>
      <c r="AI21" s="5" t="n"/>
      <c r="AJ21" s="5" t="n"/>
      <c r="AK21" s="5" t="n"/>
      <c r="AL21" s="5" t="n"/>
      <c r="AM21" s="5" t="n"/>
      <c r="AN21" s="108">
        <f>P33</f>
        <v/>
      </c>
      <c r="AO21" s="5" t="n"/>
      <c r="AP21" s="5" t="n"/>
      <c r="AQ21" s="5" t="n"/>
      <c r="AR21" s="5" t="n"/>
      <c r="AS21" s="5" t="n"/>
      <c r="AT21" s="5" t="n"/>
      <c r="AU21" s="5" t="n"/>
      <c r="AV21" s="15" t="inlineStr">
        <is>
          <t xml:space="preserve"> *서비스 제공</t>
        </is>
      </c>
      <c r="AW21" s="16" t="n"/>
      <c r="AX21" s="16" t="n"/>
      <c r="AY21" s="16" t="n"/>
      <c r="AZ21" s="16" t="n"/>
      <c r="BA21" s="16" t="n"/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7" t="n"/>
    </row>
    <row r="22" ht="22" customHeight="1" s="100"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109" t="n"/>
      <c r="AO22" s="4" t="n"/>
      <c r="AP22" s="4" t="n"/>
      <c r="AQ22" s="4" t="n"/>
      <c r="AR22" s="4" t="n"/>
      <c r="AS22" s="4" t="n"/>
      <c r="AT22" s="4" t="n"/>
      <c r="AU22" s="4" t="n"/>
    </row>
    <row r="23" ht="22" customHeight="1" s="100">
      <c r="C23" s="2" t="inlineStr">
        <is>
          <t>3. Summary</t>
        </is>
      </c>
    </row>
    <row r="24" ht="10" customHeight="1" s="100">
      <c r="C24" s="2" t="n"/>
    </row>
    <row r="25" ht="22" customHeight="1" s="100">
      <c r="C25" s="2" t="n"/>
      <c r="E25" s="3" t="inlineStr">
        <is>
          <t>① 구좌별</t>
        </is>
      </c>
      <c r="BJ25" s="32" t="inlineStr">
        <is>
          <t>(단위 : 원, 건, %)</t>
        </is>
      </c>
    </row>
    <row r="26" ht="10" customHeight="1" s="100"/>
    <row r="27" ht="22" customHeight="1" s="100">
      <c r="E27" s="64" t="inlineStr">
        <is>
          <t>구 분</t>
        </is>
      </c>
      <c r="F27" s="103" t="n"/>
      <c r="G27" s="103" t="n"/>
      <c r="H27" s="103" t="n"/>
      <c r="I27" s="103" t="n"/>
      <c r="J27" s="103" t="n"/>
      <c r="K27" s="103" t="n"/>
      <c r="L27" s="103" t="n"/>
      <c r="M27" s="103" t="n"/>
      <c r="N27" s="103" t="n"/>
      <c r="O27" s="104" t="n"/>
      <c r="P27" s="64" t="inlineStr">
        <is>
          <t>집행 금액</t>
        </is>
      </c>
      <c r="Q27" s="103" t="n"/>
      <c r="R27" s="103" t="n"/>
      <c r="S27" s="103" t="n"/>
      <c r="T27" s="103" t="n"/>
      <c r="U27" s="103" t="n"/>
      <c r="V27" s="103" t="n"/>
      <c r="W27" s="104" t="n"/>
      <c r="X27" s="64" t="inlineStr">
        <is>
          <t>Imps</t>
        </is>
      </c>
      <c r="Y27" s="103" t="n"/>
      <c r="Z27" s="103" t="n"/>
      <c r="AA27" s="103" t="n"/>
      <c r="AB27" s="103" t="n"/>
      <c r="AC27" s="103" t="n"/>
      <c r="AD27" s="103" t="n"/>
      <c r="AE27" s="104" t="n"/>
      <c r="AF27" s="64" t="inlineStr">
        <is>
          <t>Click</t>
        </is>
      </c>
      <c r="AG27" s="103" t="n"/>
      <c r="AH27" s="103" t="n"/>
      <c r="AI27" s="103" t="n"/>
      <c r="AJ27" s="103" t="n"/>
      <c r="AK27" s="103" t="n"/>
      <c r="AL27" s="103" t="n"/>
      <c r="AM27" s="104" t="n"/>
      <c r="AN27" s="64" t="inlineStr">
        <is>
          <t>CTR</t>
        </is>
      </c>
      <c r="AO27" s="103" t="n"/>
      <c r="AP27" s="103" t="n"/>
      <c r="AQ27" s="103" t="n"/>
      <c r="AR27" s="103" t="n"/>
      <c r="AS27" s="103" t="n"/>
      <c r="AT27" s="103" t="n"/>
      <c r="AU27" s="104" t="n"/>
      <c r="AV27" s="64" t="inlineStr">
        <is>
          <t>CPM</t>
        </is>
      </c>
      <c r="AW27" s="103" t="n"/>
      <c r="AX27" s="103" t="n"/>
      <c r="AY27" s="103" t="n"/>
      <c r="AZ27" s="103" t="n"/>
      <c r="BA27" s="103" t="n"/>
      <c r="BB27" s="103" t="n"/>
      <c r="BC27" s="104" t="n"/>
      <c r="BD27" s="64" t="inlineStr">
        <is>
          <t>CPC</t>
        </is>
      </c>
      <c r="BE27" s="103" t="n"/>
      <c r="BF27" s="103" t="n"/>
      <c r="BG27" s="103" t="n"/>
      <c r="BH27" s="103" t="n"/>
      <c r="BI27" s="103" t="n"/>
      <c r="BJ27" s="104" t="n"/>
    </row>
    <row r="28" ht="22" customHeight="1" s="100">
      <c r="E28" s="60" t="inlineStr">
        <is>
          <t>Total</t>
        </is>
      </c>
      <c r="F28" s="103" t="n"/>
      <c r="G28" s="103" t="n"/>
      <c r="H28" s="103" t="n"/>
      <c r="I28" s="103" t="n"/>
      <c r="J28" s="103" t="n"/>
      <c r="K28" s="103" t="n"/>
      <c r="L28" s="103" t="n"/>
      <c r="M28" s="103" t="n"/>
      <c r="N28" s="103" t="n"/>
      <c r="O28" s="104" t="n"/>
      <c r="P28" s="110" t="n">
        <v>44000000</v>
      </c>
      <c r="Q28" s="103" t="n"/>
      <c r="R28" s="103" t="n"/>
      <c r="S28" s="103" t="n"/>
      <c r="T28" s="103" t="n"/>
      <c r="U28" s="103" t="n"/>
      <c r="V28" s="103" t="n"/>
      <c r="W28" s="104" t="n"/>
      <c r="X28" s="110">
        <f>X29+X30+X31+X32+X33</f>
        <v/>
      </c>
      <c r="Y28" s="103" t="n"/>
      <c r="Z28" s="103" t="n"/>
      <c r="AA28" s="103" t="n"/>
      <c r="AB28" s="103" t="n"/>
      <c r="AC28" s="103" t="n"/>
      <c r="AD28" s="103" t="n"/>
      <c r="AE28" s="104" t="n"/>
      <c r="AF28" s="110">
        <f>AF29+AF30+AF31+AF32+AF33</f>
        <v/>
      </c>
      <c r="AG28" s="103" t="n"/>
      <c r="AH28" s="103" t="n"/>
      <c r="AI28" s="103" t="n"/>
      <c r="AJ28" s="103" t="n"/>
      <c r="AK28" s="103" t="n"/>
      <c r="AL28" s="103" t="n"/>
      <c r="AM28" s="104" t="n"/>
      <c r="AN28" s="111">
        <f>AF28/X28*100</f>
        <v/>
      </c>
      <c r="AO28" s="103" t="n"/>
      <c r="AP28" s="103" t="n"/>
      <c r="AQ28" s="103" t="n"/>
      <c r="AR28" s="103" t="n"/>
      <c r="AS28" s="103" t="n"/>
      <c r="AT28" s="103" t="n"/>
      <c r="AU28" s="104" t="n"/>
      <c r="AV28" s="110">
        <f>IF(P28=0, ,P28/X28*1000)</f>
        <v/>
      </c>
      <c r="AW28" s="103" t="n"/>
      <c r="AX28" s="103" t="n"/>
      <c r="AY28" s="103" t="n"/>
      <c r="AZ28" s="103" t="n"/>
      <c r="BA28" s="103" t="n"/>
      <c r="BB28" s="103" t="n"/>
      <c r="BC28" s="104" t="n"/>
      <c r="BD28" s="110">
        <f>IF(P28=0, ,P28/AF28)</f>
        <v/>
      </c>
      <c r="BE28" s="103" t="n"/>
      <c r="BF28" s="103" t="n"/>
      <c r="BG28" s="103" t="n"/>
      <c r="BH28" s="103" t="n"/>
      <c r="BI28" s="103" t="n"/>
      <c r="BJ28" s="104" t="n"/>
      <c r="BT28" s="112" t="n">
        <v>26000000</v>
      </c>
      <c r="BU28" s="112" t="n">
        <v>22000000</v>
      </c>
    </row>
    <row r="29" ht="22" customHeight="1" s="100">
      <c r="E29" s="81" t="n"/>
      <c r="F29" s="79" t="inlineStr">
        <is>
          <t>앱 스플래시</t>
        </is>
      </c>
      <c r="G29" s="103" t="n"/>
      <c r="H29" s="103" t="n"/>
      <c r="I29" s="103" t="n"/>
      <c r="J29" s="103" t="n"/>
      <c r="K29" s="103" t="n"/>
      <c r="L29" s="103" t="n"/>
      <c r="M29" s="103" t="n"/>
      <c r="N29" s="103" t="n"/>
      <c r="O29" s="104" t="n"/>
      <c r="P29" s="107">
        <f>BU29</f>
        <v/>
      </c>
      <c r="Q29" s="103" t="n"/>
      <c r="R29" s="103" t="n"/>
      <c r="S29" s="103" t="n"/>
      <c r="T29" s="103" t="n"/>
      <c r="U29" s="103" t="n"/>
      <c r="V29" s="103" t="n"/>
      <c r="W29" s="104" t="n"/>
      <c r="X29" s="107">
        <f>X59</f>
        <v/>
      </c>
      <c r="Y29" s="103" t="n"/>
      <c r="Z29" s="103" t="n"/>
      <c r="AA29" s="103" t="n"/>
      <c r="AB29" s="103" t="n"/>
      <c r="AC29" s="103" t="n"/>
      <c r="AD29" s="103" t="n"/>
      <c r="AE29" s="104" t="n"/>
      <c r="AF29" s="113">
        <f>AF59</f>
        <v/>
      </c>
      <c r="AG29" s="103" t="n"/>
      <c r="AH29" s="103" t="n"/>
      <c r="AI29" s="103" t="n"/>
      <c r="AJ29" s="103" t="n"/>
      <c r="AK29" s="103" t="n"/>
      <c r="AL29" s="103" t="n"/>
      <c r="AM29" s="104" t="n"/>
      <c r="AN29" s="114">
        <f>AF29/X29*100</f>
        <v/>
      </c>
      <c r="AO29" s="103" t="n"/>
      <c r="AP29" s="103" t="n"/>
      <c r="AQ29" s="103" t="n"/>
      <c r="AR29" s="103" t="n"/>
      <c r="AS29" s="103" t="n"/>
      <c r="AT29" s="103" t="n"/>
      <c r="AU29" s="104" t="n"/>
      <c r="AV29" s="107">
        <f>IF(P29=0, ,P29/X29*1000)</f>
        <v/>
      </c>
      <c r="AW29" s="103" t="n"/>
      <c r="AX29" s="103" t="n"/>
      <c r="AY29" s="103" t="n"/>
      <c r="AZ29" s="103" t="n"/>
      <c r="BA29" s="103" t="n"/>
      <c r="BB29" s="103" t="n"/>
      <c r="BC29" s="104" t="n"/>
      <c r="BD29" s="113">
        <f>IF(P29=0, ,P29/AF29)</f>
        <v/>
      </c>
      <c r="BE29" s="103" t="n"/>
      <c r="BF29" s="103" t="n"/>
      <c r="BG29" s="103" t="n"/>
      <c r="BH29" s="103" t="n"/>
      <c r="BI29" s="103" t="n"/>
      <c r="BJ29" s="104" t="n"/>
      <c r="BT29" s="112" t="n">
        <v>15000000</v>
      </c>
      <c r="BU29" s="112">
        <f>BT29*BU$28/$BT$28</f>
        <v/>
      </c>
    </row>
    <row r="30" ht="22" customHeight="1" s="100">
      <c r="E30" s="115" t="n"/>
      <c r="F30" s="79" t="inlineStr">
        <is>
          <t>앱 오픈 팝업</t>
        </is>
      </c>
      <c r="G30" s="103" t="n"/>
      <c r="H30" s="103" t="n"/>
      <c r="I30" s="103" t="n"/>
      <c r="J30" s="103" t="n"/>
      <c r="K30" s="103" t="n"/>
      <c r="L30" s="103" t="n"/>
      <c r="M30" s="103" t="n"/>
      <c r="N30" s="103" t="n"/>
      <c r="O30" s="104" t="n"/>
      <c r="P30" s="107">
        <f>BU30</f>
        <v/>
      </c>
      <c r="Q30" s="103" t="n"/>
      <c r="R30" s="103" t="n"/>
      <c r="S30" s="103" t="n"/>
      <c r="T30" s="103" t="n"/>
      <c r="U30" s="103" t="n"/>
      <c r="V30" s="103" t="n"/>
      <c r="W30" s="104" t="n"/>
      <c r="X30" s="107">
        <f>X79</f>
        <v/>
      </c>
      <c r="Y30" s="103" t="n"/>
      <c r="Z30" s="103" t="n"/>
      <c r="AA30" s="103" t="n"/>
      <c r="AB30" s="103" t="n"/>
      <c r="AC30" s="103" t="n"/>
      <c r="AD30" s="103" t="n"/>
      <c r="AE30" s="104" t="n"/>
      <c r="AF30" s="107">
        <f>AF79</f>
        <v/>
      </c>
      <c r="AG30" s="103" t="n"/>
      <c r="AH30" s="103" t="n"/>
      <c r="AI30" s="103" t="n"/>
      <c r="AJ30" s="103" t="n"/>
      <c r="AK30" s="103" t="n"/>
      <c r="AL30" s="103" t="n"/>
      <c r="AM30" s="104" t="n"/>
      <c r="AN30" s="116">
        <f>AF30/X30*100</f>
        <v/>
      </c>
      <c r="AO30" s="103" t="n"/>
      <c r="AP30" s="103" t="n"/>
      <c r="AQ30" s="103" t="n"/>
      <c r="AR30" s="103" t="n"/>
      <c r="AS30" s="103" t="n"/>
      <c r="AT30" s="103" t="n"/>
      <c r="AU30" s="104" t="n"/>
      <c r="AV30" s="107">
        <f>IF(P30=0, ,P30/X30*1000)</f>
        <v/>
      </c>
      <c r="AW30" s="103" t="n"/>
      <c r="AX30" s="103" t="n"/>
      <c r="AY30" s="103" t="n"/>
      <c r="AZ30" s="103" t="n"/>
      <c r="BA30" s="103" t="n"/>
      <c r="BB30" s="103" t="n"/>
      <c r="BC30" s="104" t="n"/>
      <c r="BD30" s="107">
        <f>IF(P30=0, ,P30/AF30)</f>
        <v/>
      </c>
      <c r="BE30" s="103" t="n"/>
      <c r="BF30" s="103" t="n"/>
      <c r="BG30" s="103" t="n"/>
      <c r="BH30" s="103" t="n"/>
      <c r="BI30" s="103" t="n"/>
      <c r="BJ30" s="104" t="n"/>
      <c r="BT30" s="112" t="n">
        <v>3000000</v>
      </c>
      <c r="BU30" s="112">
        <f>BT30*BU$28/$BT$28</f>
        <v/>
      </c>
    </row>
    <row r="31" ht="22" customHeight="1" s="100">
      <c r="E31" s="115" t="n"/>
      <c r="F31" s="79" t="inlineStr">
        <is>
          <t>앱 메인 배너</t>
        </is>
      </c>
      <c r="G31" s="103" t="n"/>
      <c r="H31" s="103" t="n"/>
      <c r="I31" s="103" t="n"/>
      <c r="J31" s="103" t="n"/>
      <c r="K31" s="103" t="n"/>
      <c r="L31" s="103" t="n"/>
      <c r="M31" s="103" t="n"/>
      <c r="N31" s="103" t="n"/>
      <c r="O31" s="104" t="n"/>
      <c r="P31" s="107">
        <f>BU31</f>
        <v/>
      </c>
      <c r="Q31" s="103" t="n"/>
      <c r="R31" s="103" t="n"/>
      <c r="S31" s="103" t="n"/>
      <c r="T31" s="103" t="n"/>
      <c r="U31" s="103" t="n"/>
      <c r="V31" s="103" t="n"/>
      <c r="W31" s="104" t="n"/>
      <c r="X31" s="107">
        <f>X98</f>
        <v/>
      </c>
      <c r="Y31" s="103" t="n"/>
      <c r="Z31" s="103" t="n"/>
      <c r="AA31" s="103" t="n"/>
      <c r="AB31" s="103" t="n"/>
      <c r="AC31" s="103" t="n"/>
      <c r="AD31" s="103" t="n"/>
      <c r="AE31" s="104" t="n"/>
      <c r="AF31" s="107">
        <f>AF98</f>
        <v/>
      </c>
      <c r="AG31" s="103" t="n"/>
      <c r="AH31" s="103" t="n"/>
      <c r="AI31" s="103" t="n"/>
      <c r="AJ31" s="103" t="n"/>
      <c r="AK31" s="103" t="n"/>
      <c r="AL31" s="103" t="n"/>
      <c r="AM31" s="104" t="n"/>
      <c r="AN31" s="116">
        <f>AF31/X31*100</f>
        <v/>
      </c>
      <c r="AO31" s="103" t="n"/>
      <c r="AP31" s="103" t="n"/>
      <c r="AQ31" s="103" t="n"/>
      <c r="AR31" s="103" t="n"/>
      <c r="AS31" s="103" t="n"/>
      <c r="AT31" s="103" t="n"/>
      <c r="AU31" s="104" t="n"/>
      <c r="AV31" s="107">
        <f>IF(P31=0, ,P31/X31*1000)</f>
        <v/>
      </c>
      <c r="AW31" s="103" t="n"/>
      <c r="AX31" s="103" t="n"/>
      <c r="AY31" s="103" t="n"/>
      <c r="AZ31" s="103" t="n"/>
      <c r="BA31" s="103" t="n"/>
      <c r="BB31" s="103" t="n"/>
      <c r="BC31" s="104" t="n"/>
      <c r="BD31" s="107">
        <f>IF(P31=0, ,P31/AF31)</f>
        <v/>
      </c>
      <c r="BE31" s="103" t="n"/>
      <c r="BF31" s="103" t="n"/>
      <c r="BG31" s="103" t="n"/>
      <c r="BH31" s="103" t="n"/>
      <c r="BI31" s="103" t="n"/>
      <c r="BJ31" s="104" t="n"/>
      <c r="BT31" s="112" t="n">
        <v>7000000</v>
      </c>
      <c r="BU31" s="112">
        <f>BT31*BU$28/$BT$28</f>
        <v/>
      </c>
    </row>
    <row r="32" ht="22" customHeight="1" s="100">
      <c r="E32" s="115" t="n"/>
      <c r="F32" s="79" t="inlineStr">
        <is>
          <t>앱 하단 배너</t>
        </is>
      </c>
      <c r="G32" s="103" t="n"/>
      <c r="H32" s="103" t="n"/>
      <c r="I32" s="103" t="n"/>
      <c r="J32" s="103" t="n"/>
      <c r="K32" s="103" t="n"/>
      <c r="L32" s="103" t="n"/>
      <c r="M32" s="103" t="n"/>
      <c r="N32" s="103" t="n"/>
      <c r="O32" s="104" t="n"/>
      <c r="P32" s="107">
        <f>BU32</f>
        <v/>
      </c>
      <c r="Q32" s="103" t="n"/>
      <c r="R32" s="103" t="n"/>
      <c r="S32" s="103" t="n"/>
      <c r="T32" s="103" t="n"/>
      <c r="U32" s="103" t="n"/>
      <c r="V32" s="103" t="n"/>
      <c r="W32" s="104" t="n"/>
      <c r="X32" s="107">
        <f>X117</f>
        <v/>
      </c>
      <c r="Y32" s="103" t="n"/>
      <c r="Z32" s="103" t="n"/>
      <c r="AA32" s="103" t="n"/>
      <c r="AB32" s="103" t="n"/>
      <c r="AC32" s="103" t="n"/>
      <c r="AD32" s="103" t="n"/>
      <c r="AE32" s="104" t="n"/>
      <c r="AF32" s="107">
        <f>AF117</f>
        <v/>
      </c>
      <c r="AG32" s="103" t="n"/>
      <c r="AH32" s="103" t="n"/>
      <c r="AI32" s="103" t="n"/>
      <c r="AJ32" s="103" t="n"/>
      <c r="AK32" s="103" t="n"/>
      <c r="AL32" s="103" t="n"/>
      <c r="AM32" s="104" t="n"/>
      <c r="AN32" s="116">
        <f>AF32/X32*100</f>
        <v/>
      </c>
      <c r="AO32" s="103" t="n"/>
      <c r="AP32" s="103" t="n"/>
      <c r="AQ32" s="103" t="n"/>
      <c r="AR32" s="103" t="n"/>
      <c r="AS32" s="103" t="n"/>
      <c r="AT32" s="103" t="n"/>
      <c r="AU32" s="104" t="n"/>
      <c r="AV32" s="107">
        <f>IF(P32=0, ,P32/X32*1000)</f>
        <v/>
      </c>
      <c r="AW32" s="103" t="n"/>
      <c r="AX32" s="103" t="n"/>
      <c r="AY32" s="103" t="n"/>
      <c r="AZ32" s="103" t="n"/>
      <c r="BA32" s="103" t="n"/>
      <c r="BB32" s="103" t="n"/>
      <c r="BC32" s="104" t="n"/>
      <c r="BD32" s="107">
        <f>IF(P32=0, ,P32/AF32)</f>
        <v/>
      </c>
      <c r="BE32" s="103" t="n"/>
      <c r="BF32" s="103" t="n"/>
      <c r="BG32" s="103" t="n"/>
      <c r="BH32" s="103" t="n"/>
      <c r="BI32" s="103" t="n"/>
      <c r="BJ32" s="104" t="n"/>
      <c r="BT32" s="112" t="n">
        <v>1000000</v>
      </c>
      <c r="BU32" s="112">
        <f>BT32*BU$28/$BT$28</f>
        <v/>
      </c>
    </row>
    <row r="33" ht="22" customHeight="1" s="100">
      <c r="E33" s="117" t="n"/>
      <c r="F33" s="77" t="inlineStr">
        <is>
          <t>앱 헤드라인 뉴스</t>
        </is>
      </c>
      <c r="G33" s="103" t="n"/>
      <c r="H33" s="103" t="n"/>
      <c r="I33" s="103" t="n"/>
      <c r="J33" s="103" t="n"/>
      <c r="K33" s="103" t="n"/>
      <c r="L33" s="103" t="n"/>
      <c r="M33" s="103" t="n"/>
      <c r="N33" s="103" t="n"/>
      <c r="O33" s="104" t="n"/>
      <c r="P33" s="107">
        <f>BU33</f>
        <v/>
      </c>
      <c r="Q33" s="103" t="n"/>
      <c r="R33" s="103" t="n"/>
      <c r="S33" s="103" t="n"/>
      <c r="T33" s="103" t="n"/>
      <c r="U33" s="103" t="n"/>
      <c r="V33" s="103" t="n"/>
      <c r="W33" s="104" t="n"/>
      <c r="X33" s="107">
        <f>X136</f>
        <v/>
      </c>
      <c r="Y33" s="103" t="n"/>
      <c r="Z33" s="103" t="n"/>
      <c r="AA33" s="103" t="n"/>
      <c r="AB33" s="103" t="n"/>
      <c r="AC33" s="103" t="n"/>
      <c r="AD33" s="103" t="n"/>
      <c r="AE33" s="104" t="n"/>
      <c r="AF33" s="107">
        <f>AF136</f>
        <v/>
      </c>
      <c r="AG33" s="103" t="n"/>
      <c r="AH33" s="103" t="n"/>
      <c r="AI33" s="103" t="n"/>
      <c r="AJ33" s="103" t="n"/>
      <c r="AK33" s="103" t="n"/>
      <c r="AL33" s="103" t="n"/>
      <c r="AM33" s="104" t="n"/>
      <c r="AN33" s="116">
        <f>AF33/X33*100</f>
        <v/>
      </c>
      <c r="AO33" s="103" t="n"/>
      <c r="AP33" s="103" t="n"/>
      <c r="AQ33" s="103" t="n"/>
      <c r="AR33" s="103" t="n"/>
      <c r="AS33" s="103" t="n"/>
      <c r="AT33" s="103" t="n"/>
      <c r="AU33" s="104" t="n"/>
      <c r="AV33" s="107">
        <f>IF(P33=0, ,P33/X33*1000)</f>
        <v/>
      </c>
      <c r="AW33" s="103" t="n"/>
      <c r="AX33" s="103" t="n"/>
      <c r="AY33" s="103" t="n"/>
      <c r="AZ33" s="103" t="n"/>
      <c r="BA33" s="103" t="n"/>
      <c r="BB33" s="103" t="n"/>
      <c r="BC33" s="104" t="n"/>
      <c r="BD33" s="107">
        <f>IF(P33=0, ,P33/AF33)</f>
        <v/>
      </c>
      <c r="BE33" s="103" t="n"/>
      <c r="BF33" s="103" t="n"/>
      <c r="BG33" s="103" t="n"/>
      <c r="BH33" s="103" t="n"/>
      <c r="BI33" s="103" t="n"/>
      <c r="BJ33" s="104" t="n"/>
    </row>
    <row r="35" ht="22" customHeight="1" s="100">
      <c r="E35" s="3" t="inlineStr">
        <is>
          <t>② 일자별</t>
        </is>
      </c>
      <c r="BJ35" s="32" t="inlineStr">
        <is>
          <t>(단위 : 원, 건, %)</t>
        </is>
      </c>
    </row>
    <row r="36" ht="10" customHeight="1" s="100">
      <c r="C36" s="2" t="n"/>
      <c r="BJ36" s="32" t="n"/>
    </row>
    <row r="37" ht="22" customHeight="1" s="100">
      <c r="C37" s="2" t="n"/>
      <c r="E37" s="64" t="inlineStr">
        <is>
          <t>구 분</t>
        </is>
      </c>
      <c r="F37" s="103" t="n"/>
      <c r="G37" s="103" t="n"/>
      <c r="H37" s="103" t="n"/>
      <c r="I37" s="103" t="n"/>
      <c r="J37" s="103" t="n"/>
      <c r="K37" s="103" t="n"/>
      <c r="L37" s="103" t="n"/>
      <c r="M37" s="103" t="n"/>
      <c r="N37" s="103" t="n"/>
      <c r="O37" s="104" t="n"/>
      <c r="P37" s="64" t="inlineStr">
        <is>
          <t>집행 금액</t>
        </is>
      </c>
      <c r="Q37" s="103" t="n"/>
      <c r="R37" s="103" t="n"/>
      <c r="S37" s="103" t="n"/>
      <c r="T37" s="103" t="n"/>
      <c r="U37" s="103" t="n"/>
      <c r="V37" s="103" t="n"/>
      <c r="W37" s="104" t="n"/>
      <c r="X37" s="64" t="inlineStr">
        <is>
          <t>Imps</t>
        </is>
      </c>
      <c r="Y37" s="103" t="n"/>
      <c r="Z37" s="103" t="n"/>
      <c r="AA37" s="103" t="n"/>
      <c r="AB37" s="103" t="n"/>
      <c r="AC37" s="103" t="n"/>
      <c r="AD37" s="103" t="n"/>
      <c r="AE37" s="104" t="n"/>
      <c r="AF37" s="64" t="inlineStr">
        <is>
          <t>Click</t>
        </is>
      </c>
      <c r="AG37" s="103" t="n"/>
      <c r="AH37" s="103" t="n"/>
      <c r="AI37" s="103" t="n"/>
      <c r="AJ37" s="103" t="n"/>
      <c r="AK37" s="103" t="n"/>
      <c r="AL37" s="103" t="n"/>
      <c r="AM37" s="104" t="n"/>
      <c r="AN37" s="64" t="inlineStr">
        <is>
          <t>CTR</t>
        </is>
      </c>
      <c r="AO37" s="103" t="n"/>
      <c r="AP37" s="103" t="n"/>
      <c r="AQ37" s="103" t="n"/>
      <c r="AR37" s="103" t="n"/>
      <c r="AS37" s="103" t="n"/>
      <c r="AT37" s="103" t="n"/>
      <c r="AU37" s="104" t="n"/>
      <c r="AV37" s="64" t="inlineStr">
        <is>
          <t>CPM</t>
        </is>
      </c>
      <c r="AW37" s="103" t="n"/>
      <c r="AX37" s="103" t="n"/>
      <c r="AY37" s="103" t="n"/>
      <c r="AZ37" s="103" t="n"/>
      <c r="BA37" s="103" t="n"/>
      <c r="BB37" s="103" t="n"/>
      <c r="BC37" s="104" t="n"/>
      <c r="BD37" s="64" t="inlineStr">
        <is>
          <t>CPC</t>
        </is>
      </c>
      <c r="BE37" s="103" t="n"/>
      <c r="BF37" s="103" t="n"/>
      <c r="BG37" s="103" t="n"/>
      <c r="BH37" s="103" t="n"/>
      <c r="BI37" s="103" t="n"/>
      <c r="BJ37" s="104" t="n"/>
    </row>
    <row r="38" ht="22" customHeight="1" s="100">
      <c r="C38" s="2" t="n"/>
      <c r="E38" s="60" t="inlineStr">
        <is>
          <t>Total</t>
        </is>
      </c>
      <c r="F38" s="103" t="n"/>
      <c r="G38" s="103" t="n"/>
      <c r="H38" s="103" t="n"/>
      <c r="I38" s="103" t="n"/>
      <c r="J38" s="103" t="n"/>
      <c r="K38" s="103" t="n"/>
      <c r="L38" s="103" t="n"/>
      <c r="M38" s="103" t="n"/>
      <c r="N38" s="103" t="n"/>
      <c r="O38" s="104" t="n"/>
      <c r="P38" s="110">
        <f>P28</f>
        <v/>
      </c>
      <c r="Q38" s="103" t="n"/>
      <c r="R38" s="103" t="n"/>
      <c r="S38" s="103" t="n"/>
      <c r="T38" s="103" t="n"/>
      <c r="U38" s="103" t="n"/>
      <c r="V38" s="103" t="n"/>
      <c r="W38" s="104" t="n"/>
      <c r="X38" s="110">
        <f>SUM(X39:AE52)</f>
        <v/>
      </c>
      <c r="Y38" s="103" t="n"/>
      <c r="Z38" s="103" t="n"/>
      <c r="AA38" s="103" t="n"/>
      <c r="AB38" s="103" t="n"/>
      <c r="AC38" s="103" t="n"/>
      <c r="AD38" s="103" t="n"/>
      <c r="AE38" s="104" t="n"/>
      <c r="AF38" s="110">
        <f>SUM(AF39:AM52)</f>
        <v/>
      </c>
      <c r="AG38" s="103" t="n"/>
      <c r="AH38" s="103" t="n"/>
      <c r="AI38" s="103" t="n"/>
      <c r="AJ38" s="103" t="n"/>
      <c r="AK38" s="103" t="n"/>
      <c r="AL38" s="103" t="n"/>
      <c r="AM38" s="104" t="n"/>
      <c r="AN38" s="111">
        <f>AF38/X38*100</f>
        <v/>
      </c>
      <c r="AO38" s="103" t="n"/>
      <c r="AP38" s="103" t="n"/>
      <c r="AQ38" s="103" t="n"/>
      <c r="AR38" s="103" t="n"/>
      <c r="AS38" s="103" t="n"/>
      <c r="AT38" s="103" t="n"/>
      <c r="AU38" s="104" t="n"/>
      <c r="AV38" s="110">
        <f>IF(P38=0, ,P38/X38*1000)</f>
        <v/>
      </c>
      <c r="AW38" s="103" t="n"/>
      <c r="AX38" s="103" t="n"/>
      <c r="AY38" s="103" t="n"/>
      <c r="AZ38" s="103" t="n"/>
      <c r="BA38" s="103" t="n"/>
      <c r="BB38" s="103" t="n"/>
      <c r="BC38" s="104" t="n"/>
      <c r="BD38" s="110">
        <f>IF(P38=0, ,P38/AF38)</f>
        <v/>
      </c>
      <c r="BE38" s="103" t="n"/>
      <c r="BF38" s="103" t="n"/>
      <c r="BG38" s="103" t="n"/>
      <c r="BH38" s="103" t="n"/>
      <c r="BI38" s="103" t="n"/>
      <c r="BJ38" s="104" t="n"/>
    </row>
    <row r="39" ht="22" customHeight="1" s="100">
      <c r="C39" s="2" t="n"/>
      <c r="E39" s="118" t="n">
        <v>46091</v>
      </c>
      <c r="F39" s="103" t="n"/>
      <c r="G39" s="103" t="n"/>
      <c r="H39" s="103" t="n"/>
      <c r="I39" s="103" t="n"/>
      <c r="J39" s="103" t="n"/>
      <c r="K39" s="104" t="n"/>
      <c r="L39" s="119" t="inlineStr">
        <is>
          <t>화</t>
        </is>
      </c>
      <c r="M39" s="103" t="n"/>
      <c r="N39" s="103" t="n"/>
      <c r="O39" s="104" t="n"/>
      <c r="P39" s="120">
        <f>$P$38/14</f>
        <v/>
      </c>
      <c r="Q39" s="103" t="n"/>
      <c r="R39" s="103" t="n"/>
      <c r="S39" s="103" t="n"/>
      <c r="T39" s="103" t="n"/>
      <c r="U39" s="103" t="n"/>
      <c r="V39" s="103" t="n"/>
      <c r="W39" s="104" t="n"/>
      <c r="X39" s="120">
        <f>SUM(X60,X80,X99,X118,X137)</f>
        <v/>
      </c>
      <c r="Y39" s="103" t="n"/>
      <c r="Z39" s="103" t="n"/>
      <c r="AA39" s="103" t="n"/>
      <c r="AB39" s="103" t="n"/>
      <c r="AC39" s="103" t="n"/>
      <c r="AD39" s="103" t="n"/>
      <c r="AE39" s="104" t="n"/>
      <c r="AF39" s="120">
        <f>SUM(AF60,AF80,AF99,AF118,AF137)</f>
        <v/>
      </c>
      <c r="AG39" s="103" t="n"/>
      <c r="AH39" s="103" t="n"/>
      <c r="AI39" s="103" t="n"/>
      <c r="AJ39" s="103" t="n"/>
      <c r="AK39" s="103" t="n"/>
      <c r="AL39" s="103" t="n"/>
      <c r="AM39" s="104" t="n"/>
      <c r="AN39" s="116">
        <f>AF39/X39*100</f>
        <v/>
      </c>
      <c r="AO39" s="103" t="n"/>
      <c r="AP39" s="103" t="n"/>
      <c r="AQ39" s="103" t="n"/>
      <c r="AR39" s="103" t="n"/>
      <c r="AS39" s="103" t="n"/>
      <c r="AT39" s="103" t="n"/>
      <c r="AU39" s="104" t="n"/>
      <c r="AV39" s="107">
        <f>IF(P39=0, ,P39/X39*1000)</f>
        <v/>
      </c>
      <c r="AW39" s="103" t="n"/>
      <c r="AX39" s="103" t="n"/>
      <c r="AY39" s="103" t="n"/>
      <c r="AZ39" s="103" t="n"/>
      <c r="BA39" s="103" t="n"/>
      <c r="BB39" s="103" t="n"/>
      <c r="BC39" s="104" t="n"/>
      <c r="BD39" s="107">
        <f>IF(P39=0, ,P39/AF39)</f>
        <v/>
      </c>
      <c r="BE39" s="103" t="n"/>
      <c r="BF39" s="103" t="n"/>
      <c r="BG39" s="103" t="n"/>
      <c r="BH39" s="103" t="n"/>
      <c r="BI39" s="103" t="n"/>
      <c r="BJ39" s="104" t="n"/>
    </row>
    <row r="40" ht="22" customHeight="1" s="100">
      <c r="C40" s="2" t="n"/>
      <c r="E40" s="118" t="n">
        <v>46092</v>
      </c>
      <c r="F40" s="103" t="n"/>
      <c r="G40" s="103" t="n"/>
      <c r="H40" s="103" t="n"/>
      <c r="I40" s="103" t="n"/>
      <c r="J40" s="103" t="n"/>
      <c r="K40" s="104" t="n"/>
      <c r="L40" s="119" t="inlineStr">
        <is>
          <t>수</t>
        </is>
      </c>
      <c r="M40" s="103" t="n"/>
      <c r="N40" s="103" t="n"/>
      <c r="O40" s="104" t="n"/>
      <c r="P40" s="120">
        <f>$P$38/14</f>
        <v/>
      </c>
      <c r="Q40" s="103" t="n"/>
      <c r="R40" s="103" t="n"/>
      <c r="S40" s="103" t="n"/>
      <c r="T40" s="103" t="n"/>
      <c r="U40" s="103" t="n"/>
      <c r="V40" s="103" t="n"/>
      <c r="W40" s="104" t="n"/>
      <c r="X40" s="120">
        <f>SUM(X61,X81,X100,X119,X138)</f>
        <v/>
      </c>
      <c r="Y40" s="103" t="n"/>
      <c r="Z40" s="103" t="n"/>
      <c r="AA40" s="103" t="n"/>
      <c r="AB40" s="103" t="n"/>
      <c r="AC40" s="103" t="n"/>
      <c r="AD40" s="103" t="n"/>
      <c r="AE40" s="104" t="n"/>
      <c r="AF40" s="120">
        <f>SUM(AF61,AF81,AF100,AF119,AF138)</f>
        <v/>
      </c>
      <c r="AG40" s="103" t="n"/>
      <c r="AH40" s="103" t="n"/>
      <c r="AI40" s="103" t="n"/>
      <c r="AJ40" s="103" t="n"/>
      <c r="AK40" s="103" t="n"/>
      <c r="AL40" s="103" t="n"/>
      <c r="AM40" s="104" t="n"/>
      <c r="AN40" s="116">
        <f>AF40/X40*100</f>
        <v/>
      </c>
      <c r="AO40" s="103" t="n"/>
      <c r="AP40" s="103" t="n"/>
      <c r="AQ40" s="103" t="n"/>
      <c r="AR40" s="103" t="n"/>
      <c r="AS40" s="103" t="n"/>
      <c r="AT40" s="103" t="n"/>
      <c r="AU40" s="104" t="n"/>
      <c r="AV40" s="107">
        <f>IF(P40=0, ,P40/X40*1000)</f>
        <v/>
      </c>
      <c r="AW40" s="103" t="n"/>
      <c r="AX40" s="103" t="n"/>
      <c r="AY40" s="103" t="n"/>
      <c r="AZ40" s="103" t="n"/>
      <c r="BA40" s="103" t="n"/>
      <c r="BB40" s="103" t="n"/>
      <c r="BC40" s="104" t="n"/>
      <c r="BD40" s="107">
        <f>IF(P40=0, ,P40/AF40)</f>
        <v/>
      </c>
      <c r="BE40" s="103" t="n"/>
      <c r="BF40" s="103" t="n"/>
      <c r="BG40" s="103" t="n"/>
      <c r="BH40" s="103" t="n"/>
      <c r="BI40" s="103" t="n"/>
      <c r="BJ40" s="104" t="n"/>
    </row>
    <row r="41" ht="22" customHeight="1" s="100">
      <c r="C41" s="2" t="n"/>
      <c r="E41" s="118" t="n">
        <v>46093</v>
      </c>
      <c r="F41" s="103" t="n"/>
      <c r="G41" s="103" t="n"/>
      <c r="H41" s="103" t="n"/>
      <c r="I41" s="103" t="n"/>
      <c r="J41" s="103" t="n"/>
      <c r="K41" s="104" t="n"/>
      <c r="L41" s="119" t="inlineStr">
        <is>
          <t>목</t>
        </is>
      </c>
      <c r="M41" s="103" t="n"/>
      <c r="N41" s="103" t="n"/>
      <c r="O41" s="104" t="n"/>
      <c r="P41" s="120">
        <f>$P$38/14</f>
        <v/>
      </c>
      <c r="Q41" s="103" t="n"/>
      <c r="R41" s="103" t="n"/>
      <c r="S41" s="103" t="n"/>
      <c r="T41" s="103" t="n"/>
      <c r="U41" s="103" t="n"/>
      <c r="V41" s="103" t="n"/>
      <c r="W41" s="104" t="n"/>
      <c r="X41" s="120">
        <f>SUM(X62,X82,X101,X120,X139)</f>
        <v/>
      </c>
      <c r="Y41" s="103" t="n"/>
      <c r="Z41" s="103" t="n"/>
      <c r="AA41" s="103" t="n"/>
      <c r="AB41" s="103" t="n"/>
      <c r="AC41" s="103" t="n"/>
      <c r="AD41" s="103" t="n"/>
      <c r="AE41" s="104" t="n"/>
      <c r="AF41" s="120">
        <f>SUM(AF62,AF82,AF101,AF120,AF139)</f>
        <v/>
      </c>
      <c r="AG41" s="103" t="n"/>
      <c r="AH41" s="103" t="n"/>
      <c r="AI41" s="103" t="n"/>
      <c r="AJ41" s="103" t="n"/>
      <c r="AK41" s="103" t="n"/>
      <c r="AL41" s="103" t="n"/>
      <c r="AM41" s="104" t="n"/>
      <c r="AN41" s="116">
        <f>AF41/X41*100</f>
        <v/>
      </c>
      <c r="AO41" s="103" t="n"/>
      <c r="AP41" s="103" t="n"/>
      <c r="AQ41" s="103" t="n"/>
      <c r="AR41" s="103" t="n"/>
      <c r="AS41" s="103" t="n"/>
      <c r="AT41" s="103" t="n"/>
      <c r="AU41" s="104" t="n"/>
      <c r="AV41" s="107">
        <f>IF(P41=0, ,P41/X41*1000)</f>
        <v/>
      </c>
      <c r="AW41" s="103" t="n"/>
      <c r="AX41" s="103" t="n"/>
      <c r="AY41" s="103" t="n"/>
      <c r="AZ41" s="103" t="n"/>
      <c r="BA41" s="103" t="n"/>
      <c r="BB41" s="103" t="n"/>
      <c r="BC41" s="104" t="n"/>
      <c r="BD41" s="107">
        <f>IF(P41=0, ,P41/AF41)</f>
        <v/>
      </c>
      <c r="BE41" s="103" t="n"/>
      <c r="BF41" s="103" t="n"/>
      <c r="BG41" s="103" t="n"/>
      <c r="BH41" s="103" t="n"/>
      <c r="BI41" s="103" t="n"/>
      <c r="BJ41" s="104" t="n"/>
    </row>
    <row r="42" ht="22" customHeight="1" s="100">
      <c r="C42" s="2" t="n"/>
      <c r="E42" s="118" t="n">
        <v>46094</v>
      </c>
      <c r="F42" s="103" t="n"/>
      <c r="G42" s="103" t="n"/>
      <c r="H42" s="103" t="n"/>
      <c r="I42" s="103" t="n"/>
      <c r="J42" s="103" t="n"/>
      <c r="K42" s="104" t="n"/>
      <c r="L42" s="119" t="inlineStr">
        <is>
          <t>금</t>
        </is>
      </c>
      <c r="M42" s="103" t="n"/>
      <c r="N42" s="103" t="n"/>
      <c r="O42" s="104" t="n"/>
      <c r="P42" s="120">
        <f>$P$38/14</f>
        <v/>
      </c>
      <c r="Q42" s="103" t="n"/>
      <c r="R42" s="103" t="n"/>
      <c r="S42" s="103" t="n"/>
      <c r="T42" s="103" t="n"/>
      <c r="U42" s="103" t="n"/>
      <c r="V42" s="103" t="n"/>
      <c r="W42" s="104" t="n"/>
      <c r="X42" s="120">
        <f>SUM(X63,X83,X102,X121,X140)</f>
        <v/>
      </c>
      <c r="Y42" s="103" t="n"/>
      <c r="Z42" s="103" t="n"/>
      <c r="AA42" s="103" t="n"/>
      <c r="AB42" s="103" t="n"/>
      <c r="AC42" s="103" t="n"/>
      <c r="AD42" s="103" t="n"/>
      <c r="AE42" s="104" t="n"/>
      <c r="AF42" s="120">
        <f>SUM(AF63,AF83,AF102,AF121,AF140)</f>
        <v/>
      </c>
      <c r="AG42" s="103" t="n"/>
      <c r="AH42" s="103" t="n"/>
      <c r="AI42" s="103" t="n"/>
      <c r="AJ42" s="103" t="n"/>
      <c r="AK42" s="103" t="n"/>
      <c r="AL42" s="103" t="n"/>
      <c r="AM42" s="104" t="n"/>
      <c r="AN42" s="116">
        <f>AF42/X42*100</f>
        <v/>
      </c>
      <c r="AO42" s="103" t="n"/>
      <c r="AP42" s="103" t="n"/>
      <c r="AQ42" s="103" t="n"/>
      <c r="AR42" s="103" t="n"/>
      <c r="AS42" s="103" t="n"/>
      <c r="AT42" s="103" t="n"/>
      <c r="AU42" s="104" t="n"/>
      <c r="AV42" s="107">
        <f>IF(P42=0, ,P42/X42*1000)</f>
        <v/>
      </c>
      <c r="AW42" s="103" t="n"/>
      <c r="AX42" s="103" t="n"/>
      <c r="AY42" s="103" t="n"/>
      <c r="AZ42" s="103" t="n"/>
      <c r="BA42" s="103" t="n"/>
      <c r="BB42" s="103" t="n"/>
      <c r="BC42" s="104" t="n"/>
      <c r="BD42" s="107">
        <f>IF(P42=0, ,P42/AF42)</f>
        <v/>
      </c>
      <c r="BE42" s="103" t="n"/>
      <c r="BF42" s="103" t="n"/>
      <c r="BG42" s="103" t="n"/>
      <c r="BH42" s="103" t="n"/>
      <c r="BI42" s="103" t="n"/>
      <c r="BJ42" s="104" t="n"/>
    </row>
    <row r="43" ht="22" customHeight="1" s="100">
      <c r="C43" s="2" t="n"/>
      <c r="E43" s="118" t="n">
        <v>46095</v>
      </c>
      <c r="F43" s="103" t="n"/>
      <c r="G43" s="103" t="n"/>
      <c r="H43" s="103" t="n"/>
      <c r="I43" s="103" t="n"/>
      <c r="J43" s="103" t="n"/>
      <c r="K43" s="104" t="n"/>
      <c r="L43" s="119" t="inlineStr">
        <is>
          <t>토</t>
        </is>
      </c>
      <c r="M43" s="103" t="n"/>
      <c r="N43" s="103" t="n"/>
      <c r="O43" s="104" t="n"/>
      <c r="P43" s="120">
        <f>$P$38/14</f>
        <v/>
      </c>
      <c r="Q43" s="103" t="n"/>
      <c r="R43" s="103" t="n"/>
      <c r="S43" s="103" t="n"/>
      <c r="T43" s="103" t="n"/>
      <c r="U43" s="103" t="n"/>
      <c r="V43" s="103" t="n"/>
      <c r="W43" s="104" t="n"/>
      <c r="X43" s="120">
        <f>SUM(X64,X84,X103,X122,X141)</f>
        <v/>
      </c>
      <c r="Y43" s="103" t="n"/>
      <c r="Z43" s="103" t="n"/>
      <c r="AA43" s="103" t="n"/>
      <c r="AB43" s="103" t="n"/>
      <c r="AC43" s="103" t="n"/>
      <c r="AD43" s="103" t="n"/>
      <c r="AE43" s="104" t="n"/>
      <c r="AF43" s="120">
        <f>SUM(AF64,AF84,AF103,AF122,AF141)</f>
        <v/>
      </c>
      <c r="AG43" s="103" t="n"/>
      <c r="AH43" s="103" t="n"/>
      <c r="AI43" s="103" t="n"/>
      <c r="AJ43" s="103" t="n"/>
      <c r="AK43" s="103" t="n"/>
      <c r="AL43" s="103" t="n"/>
      <c r="AM43" s="104" t="n"/>
      <c r="AN43" s="116">
        <f>AF43/X43*100</f>
        <v/>
      </c>
      <c r="AO43" s="103" t="n"/>
      <c r="AP43" s="103" t="n"/>
      <c r="AQ43" s="103" t="n"/>
      <c r="AR43" s="103" t="n"/>
      <c r="AS43" s="103" t="n"/>
      <c r="AT43" s="103" t="n"/>
      <c r="AU43" s="104" t="n"/>
      <c r="AV43" s="107">
        <f>IF(P43=0, ,P43/X43*1000)</f>
        <v/>
      </c>
      <c r="AW43" s="103" t="n"/>
      <c r="AX43" s="103" t="n"/>
      <c r="AY43" s="103" t="n"/>
      <c r="AZ43" s="103" t="n"/>
      <c r="BA43" s="103" t="n"/>
      <c r="BB43" s="103" t="n"/>
      <c r="BC43" s="104" t="n"/>
      <c r="BD43" s="107">
        <f>IF(P43=0, ,P43/AF43)</f>
        <v/>
      </c>
      <c r="BE43" s="103" t="n"/>
      <c r="BF43" s="103" t="n"/>
      <c r="BG43" s="103" t="n"/>
      <c r="BH43" s="103" t="n"/>
      <c r="BI43" s="103" t="n"/>
      <c r="BJ43" s="104" t="n"/>
    </row>
    <row r="44" ht="22" customHeight="1" s="100">
      <c r="C44" s="2" t="n"/>
      <c r="E44" s="118" t="n">
        <v>46096</v>
      </c>
      <c r="F44" s="103" t="n"/>
      <c r="G44" s="103" t="n"/>
      <c r="H44" s="103" t="n"/>
      <c r="I44" s="103" t="n"/>
      <c r="J44" s="103" t="n"/>
      <c r="K44" s="104" t="n"/>
      <c r="L44" s="119" t="inlineStr">
        <is>
          <t>일</t>
        </is>
      </c>
      <c r="M44" s="103" t="n"/>
      <c r="N44" s="103" t="n"/>
      <c r="O44" s="104" t="n"/>
      <c r="P44" s="120">
        <f>$P$38/14</f>
        <v/>
      </c>
      <c r="Q44" s="103" t="n"/>
      <c r="R44" s="103" t="n"/>
      <c r="S44" s="103" t="n"/>
      <c r="T44" s="103" t="n"/>
      <c r="U44" s="103" t="n"/>
      <c r="V44" s="103" t="n"/>
      <c r="W44" s="104" t="n"/>
      <c r="X44" s="120">
        <f>SUM(X65,X85,X104,X123,X142)</f>
        <v/>
      </c>
      <c r="Y44" s="103" t="n"/>
      <c r="Z44" s="103" t="n"/>
      <c r="AA44" s="103" t="n"/>
      <c r="AB44" s="103" t="n"/>
      <c r="AC44" s="103" t="n"/>
      <c r="AD44" s="103" t="n"/>
      <c r="AE44" s="104" t="n"/>
      <c r="AF44" s="120">
        <f>SUM(AF65,AF85,AF104,AF123,AF142)</f>
        <v/>
      </c>
      <c r="AG44" s="103" t="n"/>
      <c r="AH44" s="103" t="n"/>
      <c r="AI44" s="103" t="n"/>
      <c r="AJ44" s="103" t="n"/>
      <c r="AK44" s="103" t="n"/>
      <c r="AL44" s="103" t="n"/>
      <c r="AM44" s="104" t="n"/>
      <c r="AN44" s="116">
        <f>AF44/X44*100</f>
        <v/>
      </c>
      <c r="AO44" s="103" t="n"/>
      <c r="AP44" s="103" t="n"/>
      <c r="AQ44" s="103" t="n"/>
      <c r="AR44" s="103" t="n"/>
      <c r="AS44" s="103" t="n"/>
      <c r="AT44" s="103" t="n"/>
      <c r="AU44" s="104" t="n"/>
      <c r="AV44" s="107">
        <f>IF(P44=0, ,P44/X44*1000)</f>
        <v/>
      </c>
      <c r="AW44" s="103" t="n"/>
      <c r="AX44" s="103" t="n"/>
      <c r="AY44" s="103" t="n"/>
      <c r="AZ44" s="103" t="n"/>
      <c r="BA44" s="103" t="n"/>
      <c r="BB44" s="103" t="n"/>
      <c r="BC44" s="104" t="n"/>
      <c r="BD44" s="107">
        <f>IF(P44=0, ,P44/AF44)</f>
        <v/>
      </c>
      <c r="BE44" s="103" t="n"/>
      <c r="BF44" s="103" t="n"/>
      <c r="BG44" s="103" t="n"/>
      <c r="BH44" s="103" t="n"/>
      <c r="BI44" s="103" t="n"/>
      <c r="BJ44" s="104" t="n"/>
    </row>
    <row r="45" ht="22" customHeight="1" s="100">
      <c r="C45" s="2" t="n"/>
      <c r="E45" s="118" t="n">
        <v>46097</v>
      </c>
      <c r="F45" s="103" t="n"/>
      <c r="G45" s="103" t="n"/>
      <c r="H45" s="103" t="n"/>
      <c r="I45" s="103" t="n"/>
      <c r="J45" s="103" t="n"/>
      <c r="K45" s="104" t="n"/>
      <c r="L45" s="119" t="inlineStr">
        <is>
          <t>월</t>
        </is>
      </c>
      <c r="M45" s="103" t="n"/>
      <c r="N45" s="103" t="n"/>
      <c r="O45" s="104" t="n"/>
      <c r="P45" s="120">
        <f>$P$38/14</f>
        <v/>
      </c>
      <c r="Q45" s="103" t="n"/>
      <c r="R45" s="103" t="n"/>
      <c r="S45" s="103" t="n"/>
      <c r="T45" s="103" t="n"/>
      <c r="U45" s="103" t="n"/>
      <c r="V45" s="103" t="n"/>
      <c r="W45" s="104" t="n"/>
      <c r="X45" s="120">
        <f>SUM(X66,X86,X105,X124,X143)</f>
        <v/>
      </c>
      <c r="Y45" s="103" t="n"/>
      <c r="Z45" s="103" t="n"/>
      <c r="AA45" s="103" t="n"/>
      <c r="AB45" s="103" t="n"/>
      <c r="AC45" s="103" t="n"/>
      <c r="AD45" s="103" t="n"/>
      <c r="AE45" s="104" t="n"/>
      <c r="AF45" s="120">
        <f>SUM(AF66,AF86,AF105,AF124,AF143)</f>
        <v/>
      </c>
      <c r="AG45" s="103" t="n"/>
      <c r="AH45" s="103" t="n"/>
      <c r="AI45" s="103" t="n"/>
      <c r="AJ45" s="103" t="n"/>
      <c r="AK45" s="103" t="n"/>
      <c r="AL45" s="103" t="n"/>
      <c r="AM45" s="104" t="n"/>
      <c r="AN45" s="116">
        <f>AF45/X45*100</f>
        <v/>
      </c>
      <c r="AO45" s="103" t="n"/>
      <c r="AP45" s="103" t="n"/>
      <c r="AQ45" s="103" t="n"/>
      <c r="AR45" s="103" t="n"/>
      <c r="AS45" s="103" t="n"/>
      <c r="AT45" s="103" t="n"/>
      <c r="AU45" s="104" t="n"/>
      <c r="AV45" s="107">
        <f>IF(P45=0, ,P45/X45*1000)</f>
        <v/>
      </c>
      <c r="AW45" s="103" t="n"/>
      <c r="AX45" s="103" t="n"/>
      <c r="AY45" s="103" t="n"/>
      <c r="AZ45" s="103" t="n"/>
      <c r="BA45" s="103" t="n"/>
      <c r="BB45" s="103" t="n"/>
      <c r="BC45" s="104" t="n"/>
      <c r="BD45" s="107">
        <f>IF(P45=0, ,P45/AF45)</f>
        <v/>
      </c>
      <c r="BE45" s="103" t="n"/>
      <c r="BF45" s="103" t="n"/>
      <c r="BG45" s="103" t="n"/>
      <c r="BH45" s="103" t="n"/>
      <c r="BI45" s="103" t="n"/>
      <c r="BJ45" s="104" t="n"/>
    </row>
    <row r="46" ht="22" customHeight="1" s="100">
      <c r="C46" s="2" t="n"/>
      <c r="E46" s="118" t="n">
        <v>46098</v>
      </c>
      <c r="F46" s="103" t="n"/>
      <c r="G46" s="103" t="n"/>
      <c r="H46" s="103" t="n"/>
      <c r="I46" s="103" t="n"/>
      <c r="J46" s="103" t="n"/>
      <c r="K46" s="104" t="n"/>
      <c r="L46" s="119" t="inlineStr">
        <is>
          <t>화</t>
        </is>
      </c>
      <c r="M46" s="103" t="n"/>
      <c r="N46" s="103" t="n"/>
      <c r="O46" s="104" t="n"/>
      <c r="P46" s="120">
        <f>$P$38/14</f>
        <v/>
      </c>
      <c r="Q46" s="103" t="n"/>
      <c r="R46" s="103" t="n"/>
      <c r="S46" s="103" t="n"/>
      <c r="T46" s="103" t="n"/>
      <c r="U46" s="103" t="n"/>
      <c r="V46" s="103" t="n"/>
      <c r="W46" s="104" t="n"/>
      <c r="X46" s="120">
        <f>SUM(X67,X87,X106,X125,X144)</f>
        <v/>
      </c>
      <c r="Y46" s="103" t="n"/>
      <c r="Z46" s="103" t="n"/>
      <c r="AA46" s="103" t="n"/>
      <c r="AB46" s="103" t="n"/>
      <c r="AC46" s="103" t="n"/>
      <c r="AD46" s="103" t="n"/>
      <c r="AE46" s="104" t="n"/>
      <c r="AF46" s="120">
        <f>SUM(AF67,AF87,AF106,AF125,AF144)</f>
        <v/>
      </c>
      <c r="AG46" s="103" t="n"/>
      <c r="AH46" s="103" t="n"/>
      <c r="AI46" s="103" t="n"/>
      <c r="AJ46" s="103" t="n"/>
      <c r="AK46" s="103" t="n"/>
      <c r="AL46" s="103" t="n"/>
      <c r="AM46" s="104" t="n"/>
      <c r="AN46" s="116">
        <f>AF46/X46*100</f>
        <v/>
      </c>
      <c r="AO46" s="103" t="n"/>
      <c r="AP46" s="103" t="n"/>
      <c r="AQ46" s="103" t="n"/>
      <c r="AR46" s="103" t="n"/>
      <c r="AS46" s="103" t="n"/>
      <c r="AT46" s="103" t="n"/>
      <c r="AU46" s="104" t="n"/>
      <c r="AV46" s="107">
        <f>IF(P46=0, ,P46/X46*1000)</f>
        <v/>
      </c>
      <c r="AW46" s="103" t="n"/>
      <c r="AX46" s="103" t="n"/>
      <c r="AY46" s="103" t="n"/>
      <c r="AZ46" s="103" t="n"/>
      <c r="BA46" s="103" t="n"/>
      <c r="BB46" s="103" t="n"/>
      <c r="BC46" s="104" t="n"/>
      <c r="BD46" s="107">
        <f>IF(P46=0, ,P46/AF46)</f>
        <v/>
      </c>
      <c r="BE46" s="103" t="n"/>
      <c r="BF46" s="103" t="n"/>
      <c r="BG46" s="103" t="n"/>
      <c r="BH46" s="103" t="n"/>
      <c r="BI46" s="103" t="n"/>
      <c r="BJ46" s="104" t="n"/>
    </row>
    <row r="47" ht="22" customHeight="1" s="100">
      <c r="C47" s="2" t="n"/>
      <c r="E47" s="118" t="n">
        <v>46099</v>
      </c>
      <c r="F47" s="103" t="n"/>
      <c r="G47" s="103" t="n"/>
      <c r="H47" s="103" t="n"/>
      <c r="I47" s="103" t="n"/>
      <c r="J47" s="103" t="n"/>
      <c r="K47" s="104" t="n"/>
      <c r="L47" s="119" t="inlineStr">
        <is>
          <t>수</t>
        </is>
      </c>
      <c r="M47" s="103" t="n"/>
      <c r="N47" s="103" t="n"/>
      <c r="O47" s="104" t="n"/>
      <c r="P47" s="120">
        <f>$P$38/14</f>
        <v/>
      </c>
      <c r="Q47" s="103" t="n"/>
      <c r="R47" s="103" t="n"/>
      <c r="S47" s="103" t="n"/>
      <c r="T47" s="103" t="n"/>
      <c r="U47" s="103" t="n"/>
      <c r="V47" s="103" t="n"/>
      <c r="W47" s="104" t="n"/>
      <c r="X47" s="120">
        <f>SUM(X68,X88,X107,X126,X145)</f>
        <v/>
      </c>
      <c r="Y47" s="103" t="n"/>
      <c r="Z47" s="103" t="n"/>
      <c r="AA47" s="103" t="n"/>
      <c r="AB47" s="103" t="n"/>
      <c r="AC47" s="103" t="n"/>
      <c r="AD47" s="103" t="n"/>
      <c r="AE47" s="104" t="n"/>
      <c r="AF47" s="120">
        <f>SUM(AF68,AF88,AF107,AF126,AF145)</f>
        <v/>
      </c>
      <c r="AG47" s="103" t="n"/>
      <c r="AH47" s="103" t="n"/>
      <c r="AI47" s="103" t="n"/>
      <c r="AJ47" s="103" t="n"/>
      <c r="AK47" s="103" t="n"/>
      <c r="AL47" s="103" t="n"/>
      <c r="AM47" s="104" t="n"/>
      <c r="AN47" s="116">
        <f>AF47/X47*100</f>
        <v/>
      </c>
      <c r="AO47" s="103" t="n"/>
      <c r="AP47" s="103" t="n"/>
      <c r="AQ47" s="103" t="n"/>
      <c r="AR47" s="103" t="n"/>
      <c r="AS47" s="103" t="n"/>
      <c r="AT47" s="103" t="n"/>
      <c r="AU47" s="104" t="n"/>
      <c r="AV47" s="107">
        <f>IF(P47=0, ,P47/X47*1000)</f>
        <v/>
      </c>
      <c r="AW47" s="103" t="n"/>
      <c r="AX47" s="103" t="n"/>
      <c r="AY47" s="103" t="n"/>
      <c r="AZ47" s="103" t="n"/>
      <c r="BA47" s="103" t="n"/>
      <c r="BB47" s="103" t="n"/>
      <c r="BC47" s="104" t="n"/>
      <c r="BD47" s="107">
        <f>IF(P47=0, ,P47/AF47)</f>
        <v/>
      </c>
      <c r="BE47" s="103" t="n"/>
      <c r="BF47" s="103" t="n"/>
      <c r="BG47" s="103" t="n"/>
      <c r="BH47" s="103" t="n"/>
      <c r="BI47" s="103" t="n"/>
      <c r="BJ47" s="104" t="n"/>
    </row>
    <row r="48" ht="22" customHeight="1" s="100">
      <c r="C48" s="2" t="n"/>
      <c r="E48" s="118" t="n">
        <v>46100</v>
      </c>
      <c r="F48" s="103" t="n"/>
      <c r="G48" s="103" t="n"/>
      <c r="H48" s="103" t="n"/>
      <c r="I48" s="103" t="n"/>
      <c r="J48" s="103" t="n"/>
      <c r="K48" s="104" t="n"/>
      <c r="L48" s="119" t="inlineStr">
        <is>
          <t>목</t>
        </is>
      </c>
      <c r="M48" s="103" t="n"/>
      <c r="N48" s="103" t="n"/>
      <c r="O48" s="104" t="n"/>
      <c r="P48" s="120">
        <f>$P$38/14</f>
        <v/>
      </c>
      <c r="Q48" s="103" t="n"/>
      <c r="R48" s="103" t="n"/>
      <c r="S48" s="103" t="n"/>
      <c r="T48" s="103" t="n"/>
      <c r="U48" s="103" t="n"/>
      <c r="V48" s="103" t="n"/>
      <c r="W48" s="104" t="n"/>
      <c r="X48" s="120">
        <f>SUM(X69,X89,X108,X127,X146)</f>
        <v/>
      </c>
      <c r="Y48" s="103" t="n"/>
      <c r="Z48" s="103" t="n"/>
      <c r="AA48" s="103" t="n"/>
      <c r="AB48" s="103" t="n"/>
      <c r="AC48" s="103" t="n"/>
      <c r="AD48" s="103" t="n"/>
      <c r="AE48" s="104" t="n"/>
      <c r="AF48" s="120">
        <f>SUM(AF69,AF89,AF108,AF127,AF146)</f>
        <v/>
      </c>
      <c r="AG48" s="103" t="n"/>
      <c r="AH48" s="103" t="n"/>
      <c r="AI48" s="103" t="n"/>
      <c r="AJ48" s="103" t="n"/>
      <c r="AK48" s="103" t="n"/>
      <c r="AL48" s="103" t="n"/>
      <c r="AM48" s="104" t="n"/>
      <c r="AN48" s="116">
        <f>AF48/X48*100</f>
        <v/>
      </c>
      <c r="AO48" s="103" t="n"/>
      <c r="AP48" s="103" t="n"/>
      <c r="AQ48" s="103" t="n"/>
      <c r="AR48" s="103" t="n"/>
      <c r="AS48" s="103" t="n"/>
      <c r="AT48" s="103" t="n"/>
      <c r="AU48" s="104" t="n"/>
      <c r="AV48" s="107">
        <f>IF(P48=0, ,P48/X48*1000)</f>
        <v/>
      </c>
      <c r="AW48" s="103" t="n"/>
      <c r="AX48" s="103" t="n"/>
      <c r="AY48" s="103" t="n"/>
      <c r="AZ48" s="103" t="n"/>
      <c r="BA48" s="103" t="n"/>
      <c r="BB48" s="103" t="n"/>
      <c r="BC48" s="104" t="n"/>
      <c r="BD48" s="107">
        <f>IF(P48=0, ,P48/AF48)</f>
        <v/>
      </c>
      <c r="BE48" s="103" t="n"/>
      <c r="BF48" s="103" t="n"/>
      <c r="BG48" s="103" t="n"/>
      <c r="BH48" s="103" t="n"/>
      <c r="BI48" s="103" t="n"/>
      <c r="BJ48" s="104" t="n"/>
    </row>
    <row r="49" ht="22" customHeight="1" s="100">
      <c r="C49" s="2" t="n"/>
      <c r="E49" s="118" t="n">
        <v>46101</v>
      </c>
      <c r="F49" s="103" t="n"/>
      <c r="G49" s="103" t="n"/>
      <c r="H49" s="103" t="n"/>
      <c r="I49" s="103" t="n"/>
      <c r="J49" s="103" t="n"/>
      <c r="K49" s="104" t="n"/>
      <c r="L49" s="119" t="inlineStr">
        <is>
          <t>금</t>
        </is>
      </c>
      <c r="M49" s="103" t="n"/>
      <c r="N49" s="103" t="n"/>
      <c r="O49" s="104" t="n"/>
      <c r="P49" s="120">
        <f>$P$38/14</f>
        <v/>
      </c>
      <c r="Q49" s="103" t="n"/>
      <c r="R49" s="103" t="n"/>
      <c r="S49" s="103" t="n"/>
      <c r="T49" s="103" t="n"/>
      <c r="U49" s="103" t="n"/>
      <c r="V49" s="103" t="n"/>
      <c r="W49" s="104" t="n"/>
      <c r="X49" s="120">
        <f>SUM(X70,X90,X109,X128,X147)</f>
        <v/>
      </c>
      <c r="Y49" s="103" t="n"/>
      <c r="Z49" s="103" t="n"/>
      <c r="AA49" s="103" t="n"/>
      <c r="AB49" s="103" t="n"/>
      <c r="AC49" s="103" t="n"/>
      <c r="AD49" s="103" t="n"/>
      <c r="AE49" s="104" t="n"/>
      <c r="AF49" s="120">
        <f>SUM(AF70,AF90,AF109,AF128,AF147)</f>
        <v/>
      </c>
      <c r="AG49" s="103" t="n"/>
      <c r="AH49" s="103" t="n"/>
      <c r="AI49" s="103" t="n"/>
      <c r="AJ49" s="103" t="n"/>
      <c r="AK49" s="103" t="n"/>
      <c r="AL49" s="103" t="n"/>
      <c r="AM49" s="104" t="n"/>
      <c r="AN49" s="116">
        <f>AF49/X49*100</f>
        <v/>
      </c>
      <c r="AO49" s="103" t="n"/>
      <c r="AP49" s="103" t="n"/>
      <c r="AQ49" s="103" t="n"/>
      <c r="AR49" s="103" t="n"/>
      <c r="AS49" s="103" t="n"/>
      <c r="AT49" s="103" t="n"/>
      <c r="AU49" s="104" t="n"/>
      <c r="AV49" s="107">
        <f>IF(P49=0, ,P49/X49*1000)</f>
        <v/>
      </c>
      <c r="AW49" s="103" t="n"/>
      <c r="AX49" s="103" t="n"/>
      <c r="AY49" s="103" t="n"/>
      <c r="AZ49" s="103" t="n"/>
      <c r="BA49" s="103" t="n"/>
      <c r="BB49" s="103" t="n"/>
      <c r="BC49" s="104" t="n"/>
      <c r="BD49" s="107">
        <f>IF(P49=0, ,P49/AF49)</f>
        <v/>
      </c>
      <c r="BE49" s="103" t="n"/>
      <c r="BF49" s="103" t="n"/>
      <c r="BG49" s="103" t="n"/>
      <c r="BH49" s="103" t="n"/>
      <c r="BI49" s="103" t="n"/>
      <c r="BJ49" s="104" t="n"/>
    </row>
    <row r="50" ht="22" customHeight="1" s="100">
      <c r="C50" s="2" t="n"/>
      <c r="E50" s="118" t="n">
        <v>46102</v>
      </c>
      <c r="F50" s="103" t="n"/>
      <c r="G50" s="103" t="n"/>
      <c r="H50" s="103" t="n"/>
      <c r="I50" s="103" t="n"/>
      <c r="J50" s="103" t="n"/>
      <c r="K50" s="104" t="n"/>
      <c r="L50" s="119" t="inlineStr">
        <is>
          <t>토</t>
        </is>
      </c>
      <c r="M50" s="103" t="n"/>
      <c r="N50" s="103" t="n"/>
      <c r="O50" s="104" t="n"/>
      <c r="P50" s="120">
        <f>$P$38/14</f>
        <v/>
      </c>
      <c r="Q50" s="103" t="n"/>
      <c r="R50" s="103" t="n"/>
      <c r="S50" s="103" t="n"/>
      <c r="T50" s="103" t="n"/>
      <c r="U50" s="103" t="n"/>
      <c r="V50" s="103" t="n"/>
      <c r="W50" s="104" t="n"/>
      <c r="X50" s="120">
        <f>SUM(X71,X91,X110,X129,X148)</f>
        <v/>
      </c>
      <c r="Y50" s="103" t="n"/>
      <c r="Z50" s="103" t="n"/>
      <c r="AA50" s="103" t="n"/>
      <c r="AB50" s="103" t="n"/>
      <c r="AC50" s="103" t="n"/>
      <c r="AD50" s="103" t="n"/>
      <c r="AE50" s="104" t="n"/>
      <c r="AF50" s="120">
        <f>SUM(AF71,AF91,AF110,AF129,AF148)</f>
        <v/>
      </c>
      <c r="AG50" s="103" t="n"/>
      <c r="AH50" s="103" t="n"/>
      <c r="AI50" s="103" t="n"/>
      <c r="AJ50" s="103" t="n"/>
      <c r="AK50" s="103" t="n"/>
      <c r="AL50" s="103" t="n"/>
      <c r="AM50" s="104" t="n"/>
      <c r="AN50" s="116">
        <f>AF50/X50*100</f>
        <v/>
      </c>
      <c r="AO50" s="103" t="n"/>
      <c r="AP50" s="103" t="n"/>
      <c r="AQ50" s="103" t="n"/>
      <c r="AR50" s="103" t="n"/>
      <c r="AS50" s="103" t="n"/>
      <c r="AT50" s="103" t="n"/>
      <c r="AU50" s="104" t="n"/>
      <c r="AV50" s="107">
        <f>IF(P50=0, ,P50/X50*1000)</f>
        <v/>
      </c>
      <c r="AW50" s="103" t="n"/>
      <c r="AX50" s="103" t="n"/>
      <c r="AY50" s="103" t="n"/>
      <c r="AZ50" s="103" t="n"/>
      <c r="BA50" s="103" t="n"/>
      <c r="BB50" s="103" t="n"/>
      <c r="BC50" s="104" t="n"/>
      <c r="BD50" s="107">
        <f>IF(P50=0, ,P50/AF50)</f>
        <v/>
      </c>
      <c r="BE50" s="103" t="n"/>
      <c r="BF50" s="103" t="n"/>
      <c r="BG50" s="103" t="n"/>
      <c r="BH50" s="103" t="n"/>
      <c r="BI50" s="103" t="n"/>
      <c r="BJ50" s="104" t="n"/>
    </row>
    <row r="51" ht="22" customHeight="1" s="100">
      <c r="C51" s="2" t="n"/>
      <c r="E51" s="118" t="n">
        <v>46103</v>
      </c>
      <c r="F51" s="103" t="n"/>
      <c r="G51" s="103" t="n"/>
      <c r="H51" s="103" t="n"/>
      <c r="I51" s="103" t="n"/>
      <c r="J51" s="103" t="n"/>
      <c r="K51" s="104" t="n"/>
      <c r="L51" s="119" t="inlineStr">
        <is>
          <t>일</t>
        </is>
      </c>
      <c r="M51" s="103" t="n"/>
      <c r="N51" s="103" t="n"/>
      <c r="O51" s="104" t="n"/>
      <c r="P51" s="120">
        <f>$P$38/14</f>
        <v/>
      </c>
      <c r="Q51" s="103" t="n"/>
      <c r="R51" s="103" t="n"/>
      <c r="S51" s="103" t="n"/>
      <c r="T51" s="103" t="n"/>
      <c r="U51" s="103" t="n"/>
      <c r="V51" s="103" t="n"/>
      <c r="W51" s="104" t="n"/>
      <c r="X51" s="120">
        <f>SUM(X72,X92,X111,X130,X149)</f>
        <v/>
      </c>
      <c r="Y51" s="103" t="n"/>
      <c r="Z51" s="103" t="n"/>
      <c r="AA51" s="103" t="n"/>
      <c r="AB51" s="103" t="n"/>
      <c r="AC51" s="103" t="n"/>
      <c r="AD51" s="103" t="n"/>
      <c r="AE51" s="104" t="n"/>
      <c r="AF51" s="120">
        <f>SUM(AF72,AF92,AF111,AF130,AF149)</f>
        <v/>
      </c>
      <c r="AG51" s="103" t="n"/>
      <c r="AH51" s="103" t="n"/>
      <c r="AI51" s="103" t="n"/>
      <c r="AJ51" s="103" t="n"/>
      <c r="AK51" s="103" t="n"/>
      <c r="AL51" s="103" t="n"/>
      <c r="AM51" s="104" t="n"/>
      <c r="AN51" s="116">
        <f>AF51/X51*100</f>
        <v/>
      </c>
      <c r="AO51" s="103" t="n"/>
      <c r="AP51" s="103" t="n"/>
      <c r="AQ51" s="103" t="n"/>
      <c r="AR51" s="103" t="n"/>
      <c r="AS51" s="103" t="n"/>
      <c r="AT51" s="103" t="n"/>
      <c r="AU51" s="104" t="n"/>
      <c r="AV51" s="107">
        <f>IF(P51=0, ,P51/X51*1000)</f>
        <v/>
      </c>
      <c r="AW51" s="103" t="n"/>
      <c r="AX51" s="103" t="n"/>
      <c r="AY51" s="103" t="n"/>
      <c r="AZ51" s="103" t="n"/>
      <c r="BA51" s="103" t="n"/>
      <c r="BB51" s="103" t="n"/>
      <c r="BC51" s="104" t="n"/>
      <c r="BD51" s="107">
        <f>IF(P51=0, ,P51/AF51)</f>
        <v/>
      </c>
      <c r="BE51" s="103" t="n"/>
      <c r="BF51" s="103" t="n"/>
      <c r="BG51" s="103" t="n"/>
      <c r="BH51" s="103" t="n"/>
      <c r="BI51" s="103" t="n"/>
      <c r="BJ51" s="104" t="n"/>
    </row>
    <row r="52" ht="22" customHeight="1" s="100">
      <c r="C52" s="2" t="n"/>
      <c r="E52" s="118" t="n">
        <v>46104</v>
      </c>
      <c r="F52" s="103" t="n"/>
      <c r="G52" s="103" t="n"/>
      <c r="H52" s="103" t="n"/>
      <c r="I52" s="103" t="n"/>
      <c r="J52" s="103" t="n"/>
      <c r="K52" s="104" t="n"/>
      <c r="L52" s="119" t="inlineStr">
        <is>
          <t>월</t>
        </is>
      </c>
      <c r="M52" s="103" t="n"/>
      <c r="N52" s="103" t="n"/>
      <c r="O52" s="104" t="n"/>
      <c r="P52" s="120">
        <f>$P$38/14</f>
        <v/>
      </c>
      <c r="Q52" s="103" t="n"/>
      <c r="R52" s="103" t="n"/>
      <c r="S52" s="103" t="n"/>
      <c r="T52" s="103" t="n"/>
      <c r="U52" s="103" t="n"/>
      <c r="V52" s="103" t="n"/>
      <c r="W52" s="104" t="n"/>
      <c r="X52" s="120">
        <f>SUM(X73,X93,X112,X131,X150)</f>
        <v/>
      </c>
      <c r="Y52" s="103" t="n"/>
      <c r="Z52" s="103" t="n"/>
      <c r="AA52" s="103" t="n"/>
      <c r="AB52" s="103" t="n"/>
      <c r="AC52" s="103" t="n"/>
      <c r="AD52" s="103" t="n"/>
      <c r="AE52" s="104" t="n"/>
      <c r="AF52" s="120">
        <f>SUM(AF73,AF93,AF112,AF131,AF150)</f>
        <v/>
      </c>
      <c r="AG52" s="103" t="n"/>
      <c r="AH52" s="103" t="n"/>
      <c r="AI52" s="103" t="n"/>
      <c r="AJ52" s="103" t="n"/>
      <c r="AK52" s="103" t="n"/>
      <c r="AL52" s="103" t="n"/>
      <c r="AM52" s="104" t="n"/>
      <c r="AN52" s="116">
        <f>AF52/X52*100</f>
        <v/>
      </c>
      <c r="AO52" s="103" t="n"/>
      <c r="AP52" s="103" t="n"/>
      <c r="AQ52" s="103" t="n"/>
      <c r="AR52" s="103" t="n"/>
      <c r="AS52" s="103" t="n"/>
      <c r="AT52" s="103" t="n"/>
      <c r="AU52" s="104" t="n"/>
      <c r="AV52" s="107">
        <f>IF(P52=0, ,P52/X52*1000)</f>
        <v/>
      </c>
      <c r="AW52" s="103" t="n"/>
      <c r="AX52" s="103" t="n"/>
      <c r="AY52" s="103" t="n"/>
      <c r="AZ52" s="103" t="n"/>
      <c r="BA52" s="103" t="n"/>
      <c r="BB52" s="103" t="n"/>
      <c r="BC52" s="104" t="n"/>
      <c r="BD52" s="107">
        <f>IF(P52=0, ,P52/AF52)</f>
        <v/>
      </c>
      <c r="BE52" s="103" t="n"/>
      <c r="BF52" s="103" t="n"/>
      <c r="BG52" s="103" t="n"/>
      <c r="BH52" s="103" t="n"/>
      <c r="BI52" s="103" t="n"/>
      <c r="BJ52" s="104" t="n"/>
    </row>
    <row r="53" ht="22" customHeight="1" s="100">
      <c r="C53" s="2" t="n"/>
    </row>
    <row r="54" ht="22" customHeight="1" s="100">
      <c r="C54" s="2" t="inlineStr">
        <is>
          <t>4. Daily - 상세</t>
        </is>
      </c>
    </row>
    <row r="55" ht="10" customHeight="1" s="100">
      <c r="C55" s="2" t="n"/>
      <c r="BJ55" s="32" t="n"/>
    </row>
    <row r="56" ht="22" customHeight="1" s="100">
      <c r="C56" s="2" t="n"/>
      <c r="E56" s="3" t="inlineStr">
        <is>
          <t>① 앱 스플래시</t>
        </is>
      </c>
      <c r="BJ56" s="32" t="inlineStr">
        <is>
          <t>(단위 : 원, 건, %)</t>
        </is>
      </c>
    </row>
    <row r="57" ht="10" customHeight="1" s="100">
      <c r="C57" s="2" t="n"/>
    </row>
    <row r="58" ht="22" customHeight="1" s="100">
      <c r="C58" s="2" t="n"/>
      <c r="E58" s="64" t="inlineStr">
        <is>
          <t>구 분</t>
        </is>
      </c>
      <c r="F58" s="103" t="n"/>
      <c r="G58" s="103" t="n"/>
      <c r="H58" s="103" t="n"/>
      <c r="I58" s="103" t="n"/>
      <c r="J58" s="103" t="n"/>
      <c r="K58" s="103" t="n"/>
      <c r="L58" s="103" t="n"/>
      <c r="M58" s="103" t="n"/>
      <c r="N58" s="103" t="n"/>
      <c r="O58" s="104" t="n"/>
      <c r="P58" s="64" t="inlineStr">
        <is>
          <t>집행 금액</t>
        </is>
      </c>
      <c r="Q58" s="103" t="n"/>
      <c r="R58" s="103" t="n"/>
      <c r="S58" s="103" t="n"/>
      <c r="T58" s="103" t="n"/>
      <c r="U58" s="103" t="n"/>
      <c r="V58" s="103" t="n"/>
      <c r="W58" s="104" t="n"/>
      <c r="X58" s="64" t="inlineStr">
        <is>
          <t>Imps</t>
        </is>
      </c>
      <c r="Y58" s="103" t="n"/>
      <c r="Z58" s="103" t="n"/>
      <c r="AA58" s="103" t="n"/>
      <c r="AB58" s="103" t="n"/>
      <c r="AC58" s="103" t="n"/>
      <c r="AD58" s="103" t="n"/>
      <c r="AE58" s="104" t="n"/>
      <c r="AF58" s="64" t="inlineStr">
        <is>
          <t>Click</t>
        </is>
      </c>
      <c r="AG58" s="103" t="n"/>
      <c r="AH58" s="103" t="n"/>
      <c r="AI58" s="103" t="n"/>
      <c r="AJ58" s="103" t="n"/>
      <c r="AK58" s="103" t="n"/>
      <c r="AL58" s="103" t="n"/>
      <c r="AM58" s="104" t="n"/>
      <c r="AN58" s="64" t="inlineStr">
        <is>
          <t>CTR</t>
        </is>
      </c>
      <c r="AO58" s="103" t="n"/>
      <c r="AP58" s="103" t="n"/>
      <c r="AQ58" s="103" t="n"/>
      <c r="AR58" s="103" t="n"/>
      <c r="AS58" s="103" t="n"/>
      <c r="AT58" s="103" t="n"/>
      <c r="AU58" s="104" t="n"/>
      <c r="AV58" s="64" t="inlineStr">
        <is>
          <t>CPM</t>
        </is>
      </c>
      <c r="AW58" s="103" t="n"/>
      <c r="AX58" s="103" t="n"/>
      <c r="AY58" s="103" t="n"/>
      <c r="AZ58" s="103" t="n"/>
      <c r="BA58" s="103" t="n"/>
      <c r="BB58" s="103" t="n"/>
      <c r="BC58" s="104" t="n"/>
      <c r="BD58" s="64" t="inlineStr">
        <is>
          <t>CPC</t>
        </is>
      </c>
      <c r="BE58" s="103" t="n"/>
      <c r="BF58" s="103" t="n"/>
      <c r="BG58" s="103" t="n"/>
      <c r="BH58" s="103" t="n"/>
      <c r="BI58" s="103" t="n"/>
      <c r="BJ58" s="104" t="n"/>
    </row>
    <row r="59" ht="22" customHeight="1" s="100" thickBot="1">
      <c r="C59" s="2" t="n"/>
      <c r="E59" s="60" t="inlineStr">
        <is>
          <t>Total</t>
        </is>
      </c>
      <c r="F59" s="103" t="n"/>
      <c r="G59" s="103" t="n"/>
      <c r="H59" s="103" t="n"/>
      <c r="I59" s="103" t="n"/>
      <c r="J59" s="103" t="n"/>
      <c r="K59" s="103" t="n"/>
      <c r="L59" s="103" t="n"/>
      <c r="M59" s="103" t="n"/>
      <c r="N59" s="103" t="n"/>
      <c r="O59" s="104" t="n"/>
      <c r="P59" s="110">
        <f>P29</f>
        <v/>
      </c>
      <c r="Q59" s="103" t="n"/>
      <c r="R59" s="103" t="n"/>
      <c r="S59" s="103" t="n"/>
      <c r="T59" s="103" t="n"/>
      <c r="U59" s="103" t="n"/>
      <c r="V59" s="103" t="n"/>
      <c r="W59" s="104" t="n"/>
      <c r="X59" s="110">
        <f>SUM(X60:AE73)</f>
        <v/>
      </c>
      <c r="Y59" s="103" t="n"/>
      <c r="Z59" s="103" t="n"/>
      <c r="AA59" s="103" t="n"/>
      <c r="AB59" s="103" t="n"/>
      <c r="AC59" s="103" t="n"/>
      <c r="AD59" s="103" t="n"/>
      <c r="AE59" s="104" t="n"/>
      <c r="AF59" s="121">
        <f>SUM(AF60:AM66)</f>
        <v/>
      </c>
      <c r="AG59" s="103" t="n"/>
      <c r="AH59" s="103" t="n"/>
      <c r="AI59" s="103" t="n"/>
      <c r="AJ59" s="103" t="n"/>
      <c r="AK59" s="103" t="n"/>
      <c r="AL59" s="103" t="n"/>
      <c r="AM59" s="104" t="n"/>
      <c r="AN59" s="122">
        <f>AF59/X59*100</f>
        <v/>
      </c>
      <c r="AO59" s="103" t="n"/>
      <c r="AP59" s="103" t="n"/>
      <c r="AQ59" s="103" t="n"/>
      <c r="AR59" s="103" t="n"/>
      <c r="AS59" s="103" t="n"/>
      <c r="AT59" s="103" t="n"/>
      <c r="AU59" s="104" t="n"/>
      <c r="AV59" s="110">
        <f>IF(P59=0, ,P59/X59*1000)</f>
        <v/>
      </c>
      <c r="AW59" s="103" t="n"/>
      <c r="AX59" s="103" t="n"/>
      <c r="AY59" s="103" t="n"/>
      <c r="AZ59" s="103" t="n"/>
      <c r="BA59" s="103" t="n"/>
      <c r="BB59" s="103" t="n"/>
      <c r="BC59" s="104" t="n"/>
      <c r="BD59" s="121">
        <f>IF(P59=0, ,P59/AF59)</f>
        <v/>
      </c>
      <c r="BE59" s="103" t="n"/>
      <c r="BF59" s="103" t="n"/>
      <c r="BG59" s="103" t="n"/>
      <c r="BH59" s="103" t="n"/>
      <c r="BI59" s="103" t="n"/>
      <c r="BJ59" s="104" t="n"/>
      <c r="BU59" s="3" t="inlineStr">
        <is>
          <t>view_ad</t>
        </is>
      </c>
      <c r="BV59" s="3" t="inlineStr">
        <is>
          <t>click_ad</t>
        </is>
      </c>
    </row>
    <row r="60" ht="19" customHeight="1" s="100" thickBot="1">
      <c r="C60" s="2" t="n"/>
      <c r="E60" s="118">
        <f>E39</f>
        <v/>
      </c>
      <c r="F60" s="103" t="n"/>
      <c r="G60" s="103" t="n"/>
      <c r="H60" s="103" t="n"/>
      <c r="I60" s="103" t="n"/>
      <c r="J60" s="103" t="n"/>
      <c r="K60" s="104" t="n"/>
      <c r="L60" s="119">
        <f>L39</f>
        <v/>
      </c>
      <c r="M60" s="103" t="n"/>
      <c r="N60" s="103" t="n"/>
      <c r="O60" s="104" t="n"/>
      <c r="P60" s="120">
        <f>$P$59/14</f>
        <v/>
      </c>
      <c r="Q60" s="103" t="n"/>
      <c r="R60" s="103" t="n"/>
      <c r="S60" s="103" t="n"/>
      <c r="T60" s="103" t="n"/>
      <c r="U60" s="103" t="n"/>
      <c r="V60" s="103" t="n"/>
      <c r="W60" s="104" t="n"/>
      <c r="X60" s="107">
        <f>BU60</f>
        <v/>
      </c>
      <c r="Y60" s="103" t="n"/>
      <c r="Z60" s="103" t="n"/>
      <c r="AA60" s="103" t="n"/>
      <c r="AB60" s="103" t="n"/>
      <c r="AC60" s="103" t="n"/>
      <c r="AD60" s="103" t="n"/>
      <c r="AE60" s="104" t="n"/>
      <c r="AF60" s="113" t="n">
        <v>0</v>
      </c>
      <c r="AG60" s="103" t="n"/>
      <c r="AH60" s="103" t="n"/>
      <c r="AI60" s="103" t="n"/>
      <c r="AJ60" s="103" t="n"/>
      <c r="AK60" s="103" t="n"/>
      <c r="AL60" s="103" t="n"/>
      <c r="AM60" s="104" t="n"/>
      <c r="AN60" s="114">
        <f>AF60/X60*100</f>
        <v/>
      </c>
      <c r="AO60" s="103" t="n"/>
      <c r="AP60" s="103" t="n"/>
      <c r="AQ60" s="103" t="n"/>
      <c r="AR60" s="103" t="n"/>
      <c r="AS60" s="103" t="n"/>
      <c r="AT60" s="103" t="n"/>
      <c r="AU60" s="104" t="n"/>
      <c r="AV60" s="107">
        <f>IF(P60=0, ,P60/X60*1000)</f>
        <v/>
      </c>
      <c r="AW60" s="103" t="n"/>
      <c r="AX60" s="103" t="n"/>
      <c r="AY60" s="103" t="n"/>
      <c r="AZ60" s="103" t="n"/>
      <c r="BA60" s="103" t="n"/>
      <c r="BB60" s="103" t="n"/>
      <c r="BC60" s="104" t="n"/>
      <c r="BD60" s="113">
        <f>IF(P60=0, ,P60/AF60)</f>
        <v/>
      </c>
      <c r="BE60" s="103" t="n"/>
      <c r="BF60" s="103" t="n"/>
      <c r="BG60" s="103" t="n"/>
      <c r="BH60" s="103" t="n"/>
      <c r="BI60" s="103" t="n"/>
      <c r="BJ60" s="104" t="n"/>
      <c r="BT60" s="33" t="n">
        <v>0</v>
      </c>
      <c r="BU60" s="40" t="n">
        <v>0</v>
      </c>
      <c r="BV60" s="33" t="n"/>
    </row>
    <row r="61" ht="19" customHeight="1" s="100" thickBot="1">
      <c r="C61" s="2" t="n"/>
      <c r="E61" s="118">
        <f>E40</f>
        <v/>
      </c>
      <c r="F61" s="103" t="n"/>
      <c r="G61" s="103" t="n"/>
      <c r="H61" s="103" t="n"/>
      <c r="I61" s="103" t="n"/>
      <c r="J61" s="103" t="n"/>
      <c r="K61" s="104" t="n"/>
      <c r="L61" s="119">
        <f>L40</f>
        <v/>
      </c>
      <c r="M61" s="103" t="n"/>
      <c r="N61" s="103" t="n"/>
      <c r="O61" s="104" t="n"/>
      <c r="P61" s="120">
        <f>$P$59/14</f>
        <v/>
      </c>
      <c r="Q61" s="103" t="n"/>
      <c r="R61" s="103" t="n"/>
      <c r="S61" s="103" t="n"/>
      <c r="T61" s="103" t="n"/>
      <c r="U61" s="103" t="n"/>
      <c r="V61" s="103" t="n"/>
      <c r="W61" s="104" t="n"/>
      <c r="X61" s="107">
        <f>BU61</f>
        <v/>
      </c>
      <c r="Y61" s="103" t="n"/>
      <c r="Z61" s="103" t="n"/>
      <c r="AA61" s="103" t="n"/>
      <c r="AB61" s="103" t="n"/>
      <c r="AC61" s="103" t="n"/>
      <c r="AD61" s="103" t="n"/>
      <c r="AE61" s="104" t="n"/>
      <c r="AF61" s="113" t="n">
        <v>0</v>
      </c>
      <c r="AG61" s="103" t="n"/>
      <c r="AH61" s="103" t="n"/>
      <c r="AI61" s="103" t="n"/>
      <c r="AJ61" s="103" t="n"/>
      <c r="AK61" s="103" t="n"/>
      <c r="AL61" s="103" t="n"/>
      <c r="AM61" s="104" t="n"/>
      <c r="AN61" s="114">
        <f>AF61/X61*100</f>
        <v/>
      </c>
      <c r="AO61" s="103" t="n"/>
      <c r="AP61" s="103" t="n"/>
      <c r="AQ61" s="103" t="n"/>
      <c r="AR61" s="103" t="n"/>
      <c r="AS61" s="103" t="n"/>
      <c r="AT61" s="103" t="n"/>
      <c r="AU61" s="104" t="n"/>
      <c r="AV61" s="107">
        <f>IF(P61=0, ,P61/X61*1000)</f>
        <v/>
      </c>
      <c r="AW61" s="103" t="n"/>
      <c r="AX61" s="103" t="n"/>
      <c r="AY61" s="103" t="n"/>
      <c r="AZ61" s="103" t="n"/>
      <c r="BA61" s="103" t="n"/>
      <c r="BB61" s="103" t="n"/>
      <c r="BC61" s="104" t="n"/>
      <c r="BD61" s="113">
        <f>IF(P61=0, ,P61/AF61)</f>
        <v/>
      </c>
      <c r="BE61" s="103" t="n"/>
      <c r="BF61" s="103" t="n"/>
      <c r="BG61" s="103" t="n"/>
      <c r="BH61" s="103" t="n"/>
      <c r="BI61" s="103" t="n"/>
      <c r="BJ61" s="104" t="n"/>
      <c r="BT61" s="33" t="n">
        <v>0</v>
      </c>
      <c r="BU61" s="40" t="n">
        <v>0</v>
      </c>
      <c r="BV61" s="33" t="n"/>
    </row>
    <row r="62" ht="19" customHeight="1" s="100" thickBot="1">
      <c r="C62" s="2" t="n"/>
      <c r="E62" s="118">
        <f>E41</f>
        <v/>
      </c>
      <c r="F62" s="103" t="n"/>
      <c r="G62" s="103" t="n"/>
      <c r="H62" s="103" t="n"/>
      <c r="I62" s="103" t="n"/>
      <c r="J62" s="103" t="n"/>
      <c r="K62" s="104" t="n"/>
      <c r="L62" s="119">
        <f>L41</f>
        <v/>
      </c>
      <c r="M62" s="103" t="n"/>
      <c r="N62" s="103" t="n"/>
      <c r="O62" s="104" t="n"/>
      <c r="P62" s="120">
        <f>$P$59/14</f>
        <v/>
      </c>
      <c r="Q62" s="103" t="n"/>
      <c r="R62" s="103" t="n"/>
      <c r="S62" s="103" t="n"/>
      <c r="T62" s="103" t="n"/>
      <c r="U62" s="103" t="n"/>
      <c r="V62" s="103" t="n"/>
      <c r="W62" s="104" t="n"/>
      <c r="X62" s="107">
        <f>BU62</f>
        <v/>
      </c>
      <c r="Y62" s="103" t="n"/>
      <c r="Z62" s="103" t="n"/>
      <c r="AA62" s="103" t="n"/>
      <c r="AB62" s="103" t="n"/>
      <c r="AC62" s="103" t="n"/>
      <c r="AD62" s="103" t="n"/>
      <c r="AE62" s="104" t="n"/>
      <c r="AF62" s="113" t="n">
        <v>0</v>
      </c>
      <c r="AG62" s="103" t="n"/>
      <c r="AH62" s="103" t="n"/>
      <c r="AI62" s="103" t="n"/>
      <c r="AJ62" s="103" t="n"/>
      <c r="AK62" s="103" t="n"/>
      <c r="AL62" s="103" t="n"/>
      <c r="AM62" s="104" t="n"/>
      <c r="AN62" s="114">
        <f>AF62/X62*100</f>
        <v/>
      </c>
      <c r="AO62" s="103" t="n"/>
      <c r="AP62" s="103" t="n"/>
      <c r="AQ62" s="103" t="n"/>
      <c r="AR62" s="103" t="n"/>
      <c r="AS62" s="103" t="n"/>
      <c r="AT62" s="103" t="n"/>
      <c r="AU62" s="104" t="n"/>
      <c r="AV62" s="107">
        <f>IF(P62=0, ,P62/X62*1000)</f>
        <v/>
      </c>
      <c r="AW62" s="103" t="n"/>
      <c r="AX62" s="103" t="n"/>
      <c r="AY62" s="103" t="n"/>
      <c r="AZ62" s="103" t="n"/>
      <c r="BA62" s="103" t="n"/>
      <c r="BB62" s="103" t="n"/>
      <c r="BC62" s="104" t="n"/>
      <c r="BD62" s="113">
        <f>IF(P62=0, ,P62/AF62)</f>
        <v/>
      </c>
      <c r="BE62" s="103" t="n"/>
      <c r="BF62" s="103" t="n"/>
      <c r="BG62" s="103" t="n"/>
      <c r="BH62" s="103" t="n"/>
      <c r="BI62" s="103" t="n"/>
      <c r="BJ62" s="104" t="n"/>
      <c r="BT62" s="33" t="n">
        <v>0</v>
      </c>
      <c r="BU62" s="40" t="n">
        <v>0</v>
      </c>
      <c r="BV62" s="33" t="n"/>
    </row>
    <row r="63" ht="19" customHeight="1" s="100" thickBot="1">
      <c r="C63" s="2" t="n"/>
      <c r="E63" s="118">
        <f>E42</f>
        <v/>
      </c>
      <c r="F63" s="103" t="n"/>
      <c r="G63" s="103" t="n"/>
      <c r="H63" s="103" t="n"/>
      <c r="I63" s="103" t="n"/>
      <c r="J63" s="103" t="n"/>
      <c r="K63" s="104" t="n"/>
      <c r="L63" s="119">
        <f>L42</f>
        <v/>
      </c>
      <c r="M63" s="103" t="n"/>
      <c r="N63" s="103" t="n"/>
      <c r="O63" s="104" t="n"/>
      <c r="P63" s="120">
        <f>$P$59/14</f>
        <v/>
      </c>
      <c r="Q63" s="103" t="n"/>
      <c r="R63" s="103" t="n"/>
      <c r="S63" s="103" t="n"/>
      <c r="T63" s="103" t="n"/>
      <c r="U63" s="103" t="n"/>
      <c r="V63" s="103" t="n"/>
      <c r="W63" s="104" t="n"/>
      <c r="X63" s="107">
        <f>BU63</f>
        <v/>
      </c>
      <c r="Y63" s="103" t="n"/>
      <c r="Z63" s="103" t="n"/>
      <c r="AA63" s="103" t="n"/>
      <c r="AB63" s="103" t="n"/>
      <c r="AC63" s="103" t="n"/>
      <c r="AD63" s="103" t="n"/>
      <c r="AE63" s="104" t="n"/>
      <c r="AF63" s="113" t="n">
        <v>0</v>
      </c>
      <c r="AG63" s="103" t="n"/>
      <c r="AH63" s="103" t="n"/>
      <c r="AI63" s="103" t="n"/>
      <c r="AJ63" s="103" t="n"/>
      <c r="AK63" s="103" t="n"/>
      <c r="AL63" s="103" t="n"/>
      <c r="AM63" s="104" t="n"/>
      <c r="AN63" s="114">
        <f>AF63/X63*100</f>
        <v/>
      </c>
      <c r="AO63" s="103" t="n"/>
      <c r="AP63" s="103" t="n"/>
      <c r="AQ63" s="103" t="n"/>
      <c r="AR63" s="103" t="n"/>
      <c r="AS63" s="103" t="n"/>
      <c r="AT63" s="103" t="n"/>
      <c r="AU63" s="104" t="n"/>
      <c r="AV63" s="107">
        <f>IF(P63=0, ,P63/X63*1000)</f>
        <v/>
      </c>
      <c r="AW63" s="103" t="n"/>
      <c r="AX63" s="103" t="n"/>
      <c r="AY63" s="103" t="n"/>
      <c r="AZ63" s="103" t="n"/>
      <c r="BA63" s="103" t="n"/>
      <c r="BB63" s="103" t="n"/>
      <c r="BC63" s="104" t="n"/>
      <c r="BD63" s="113">
        <f>IF(P63=0, ,P63/AF63)</f>
        <v/>
      </c>
      <c r="BE63" s="103" t="n"/>
      <c r="BF63" s="103" t="n"/>
      <c r="BG63" s="103" t="n"/>
      <c r="BH63" s="103" t="n"/>
      <c r="BI63" s="103" t="n"/>
      <c r="BJ63" s="104" t="n"/>
      <c r="BT63" s="33" t="n">
        <v>0</v>
      </c>
      <c r="BU63" s="40" t="n">
        <v>0</v>
      </c>
      <c r="BV63" s="33" t="n"/>
    </row>
    <row r="64" ht="19" customHeight="1" s="100" thickBot="1">
      <c r="C64" s="2" t="n"/>
      <c r="E64" s="118">
        <f>E43</f>
        <v/>
      </c>
      <c r="F64" s="103" t="n"/>
      <c r="G64" s="103" t="n"/>
      <c r="H64" s="103" t="n"/>
      <c r="I64" s="103" t="n"/>
      <c r="J64" s="103" t="n"/>
      <c r="K64" s="104" t="n"/>
      <c r="L64" s="119">
        <f>L43</f>
        <v/>
      </c>
      <c r="M64" s="103" t="n"/>
      <c r="N64" s="103" t="n"/>
      <c r="O64" s="104" t="n"/>
      <c r="P64" s="120">
        <f>$P$59/14</f>
        <v/>
      </c>
      <c r="Q64" s="103" t="n"/>
      <c r="R64" s="103" t="n"/>
      <c r="S64" s="103" t="n"/>
      <c r="T64" s="103" t="n"/>
      <c r="U64" s="103" t="n"/>
      <c r="V64" s="103" t="n"/>
      <c r="W64" s="104" t="n"/>
      <c r="X64" s="107">
        <f>BU64</f>
        <v/>
      </c>
      <c r="Y64" s="103" t="n"/>
      <c r="Z64" s="103" t="n"/>
      <c r="AA64" s="103" t="n"/>
      <c r="AB64" s="103" t="n"/>
      <c r="AC64" s="103" t="n"/>
      <c r="AD64" s="103" t="n"/>
      <c r="AE64" s="104" t="n"/>
      <c r="AF64" s="113" t="n">
        <v>0</v>
      </c>
      <c r="AG64" s="103" t="n"/>
      <c r="AH64" s="103" t="n"/>
      <c r="AI64" s="103" t="n"/>
      <c r="AJ64" s="103" t="n"/>
      <c r="AK64" s="103" t="n"/>
      <c r="AL64" s="103" t="n"/>
      <c r="AM64" s="104" t="n"/>
      <c r="AN64" s="114">
        <f>AF64/X64*100</f>
        <v/>
      </c>
      <c r="AO64" s="103" t="n"/>
      <c r="AP64" s="103" t="n"/>
      <c r="AQ64" s="103" t="n"/>
      <c r="AR64" s="103" t="n"/>
      <c r="AS64" s="103" t="n"/>
      <c r="AT64" s="103" t="n"/>
      <c r="AU64" s="104" t="n"/>
      <c r="AV64" s="107">
        <f>IF(P64=0, ,P64/X64*1000)</f>
        <v/>
      </c>
      <c r="AW64" s="103" t="n"/>
      <c r="AX64" s="103" t="n"/>
      <c r="AY64" s="103" t="n"/>
      <c r="AZ64" s="103" t="n"/>
      <c r="BA64" s="103" t="n"/>
      <c r="BB64" s="103" t="n"/>
      <c r="BC64" s="104" t="n"/>
      <c r="BD64" s="113">
        <f>IF(P64=0, ,P64/AF64)</f>
        <v/>
      </c>
      <c r="BE64" s="103" t="n"/>
      <c r="BF64" s="103" t="n"/>
      <c r="BG64" s="103" t="n"/>
      <c r="BH64" s="103" t="n"/>
      <c r="BI64" s="103" t="n"/>
      <c r="BJ64" s="104" t="n"/>
      <c r="BT64" s="33" t="n">
        <v>0</v>
      </c>
      <c r="BU64" s="40" t="n">
        <v>0</v>
      </c>
      <c r="BV64" s="33" t="n"/>
    </row>
    <row r="65" ht="19" customHeight="1" s="100" thickBot="1">
      <c r="C65" s="2" t="n"/>
      <c r="E65" s="118">
        <f>E44</f>
        <v/>
      </c>
      <c r="F65" s="103" t="n"/>
      <c r="G65" s="103" t="n"/>
      <c r="H65" s="103" t="n"/>
      <c r="I65" s="103" t="n"/>
      <c r="J65" s="103" t="n"/>
      <c r="K65" s="104" t="n"/>
      <c r="L65" s="119">
        <f>L44</f>
        <v/>
      </c>
      <c r="M65" s="103" t="n"/>
      <c r="N65" s="103" t="n"/>
      <c r="O65" s="104" t="n"/>
      <c r="P65" s="120">
        <f>$P$59/14</f>
        <v/>
      </c>
      <c r="Q65" s="103" t="n"/>
      <c r="R65" s="103" t="n"/>
      <c r="S65" s="103" t="n"/>
      <c r="T65" s="103" t="n"/>
      <c r="U65" s="103" t="n"/>
      <c r="V65" s="103" t="n"/>
      <c r="W65" s="104" t="n"/>
      <c r="X65" s="107">
        <f>BU65</f>
        <v/>
      </c>
      <c r="Y65" s="103" t="n"/>
      <c r="Z65" s="103" t="n"/>
      <c r="AA65" s="103" t="n"/>
      <c r="AB65" s="103" t="n"/>
      <c r="AC65" s="103" t="n"/>
      <c r="AD65" s="103" t="n"/>
      <c r="AE65" s="104" t="n"/>
      <c r="AF65" s="113" t="n">
        <v>0</v>
      </c>
      <c r="AG65" s="103" t="n"/>
      <c r="AH65" s="103" t="n"/>
      <c r="AI65" s="103" t="n"/>
      <c r="AJ65" s="103" t="n"/>
      <c r="AK65" s="103" t="n"/>
      <c r="AL65" s="103" t="n"/>
      <c r="AM65" s="104" t="n"/>
      <c r="AN65" s="114">
        <f>AF65/X65*100</f>
        <v/>
      </c>
      <c r="AO65" s="103" t="n"/>
      <c r="AP65" s="103" t="n"/>
      <c r="AQ65" s="103" t="n"/>
      <c r="AR65" s="103" t="n"/>
      <c r="AS65" s="103" t="n"/>
      <c r="AT65" s="103" t="n"/>
      <c r="AU65" s="104" t="n"/>
      <c r="AV65" s="107">
        <f>IF(P65=0, ,P65/X65*1000)</f>
        <v/>
      </c>
      <c r="AW65" s="103" t="n"/>
      <c r="AX65" s="103" t="n"/>
      <c r="AY65" s="103" t="n"/>
      <c r="AZ65" s="103" t="n"/>
      <c r="BA65" s="103" t="n"/>
      <c r="BB65" s="103" t="n"/>
      <c r="BC65" s="104" t="n"/>
      <c r="BD65" s="113">
        <f>IF(P65=0, ,P65/AF65)</f>
        <v/>
      </c>
      <c r="BE65" s="103" t="n"/>
      <c r="BF65" s="103" t="n"/>
      <c r="BG65" s="103" t="n"/>
      <c r="BH65" s="103" t="n"/>
      <c r="BI65" s="103" t="n"/>
      <c r="BJ65" s="104" t="n"/>
      <c r="BT65" s="33" t="n">
        <v>0</v>
      </c>
      <c r="BU65" s="40" t="n">
        <v>0</v>
      </c>
      <c r="BV65" s="33" t="n"/>
    </row>
    <row r="66" ht="19" customHeight="1" s="100" thickBot="1">
      <c r="C66" s="2" t="n"/>
      <c r="E66" s="118">
        <f>E45</f>
        <v/>
      </c>
      <c r="F66" s="103" t="n"/>
      <c r="G66" s="103" t="n"/>
      <c r="H66" s="103" t="n"/>
      <c r="I66" s="103" t="n"/>
      <c r="J66" s="103" t="n"/>
      <c r="K66" s="104" t="n"/>
      <c r="L66" s="119">
        <f>L45</f>
        <v/>
      </c>
      <c r="M66" s="103" t="n"/>
      <c r="N66" s="103" t="n"/>
      <c r="O66" s="104" t="n"/>
      <c r="P66" s="120">
        <f>$P$59/14</f>
        <v/>
      </c>
      <c r="Q66" s="103" t="n"/>
      <c r="R66" s="103" t="n"/>
      <c r="S66" s="103" t="n"/>
      <c r="T66" s="103" t="n"/>
      <c r="U66" s="103" t="n"/>
      <c r="V66" s="103" t="n"/>
      <c r="W66" s="104" t="n"/>
      <c r="X66" s="107">
        <f>BU66</f>
        <v/>
      </c>
      <c r="Y66" s="103" t="n"/>
      <c r="Z66" s="103" t="n"/>
      <c r="AA66" s="103" t="n"/>
      <c r="AB66" s="103" t="n"/>
      <c r="AC66" s="103" t="n"/>
      <c r="AD66" s="103" t="n"/>
      <c r="AE66" s="104" t="n"/>
      <c r="AF66" s="113" t="n">
        <v>0</v>
      </c>
      <c r="AG66" s="103" t="n"/>
      <c r="AH66" s="103" t="n"/>
      <c r="AI66" s="103" t="n"/>
      <c r="AJ66" s="103" t="n"/>
      <c r="AK66" s="103" t="n"/>
      <c r="AL66" s="103" t="n"/>
      <c r="AM66" s="104" t="n"/>
      <c r="AN66" s="114">
        <f>AF66/X66*100</f>
        <v/>
      </c>
      <c r="AO66" s="103" t="n"/>
      <c r="AP66" s="103" t="n"/>
      <c r="AQ66" s="103" t="n"/>
      <c r="AR66" s="103" t="n"/>
      <c r="AS66" s="103" t="n"/>
      <c r="AT66" s="103" t="n"/>
      <c r="AU66" s="104" t="n"/>
      <c r="AV66" s="107">
        <f>IF(P66=0, ,P66/X66*1000)</f>
        <v/>
      </c>
      <c r="AW66" s="103" t="n"/>
      <c r="AX66" s="103" t="n"/>
      <c r="AY66" s="103" t="n"/>
      <c r="AZ66" s="103" t="n"/>
      <c r="BA66" s="103" t="n"/>
      <c r="BB66" s="103" t="n"/>
      <c r="BC66" s="104" t="n"/>
      <c r="BD66" s="113">
        <f>IF(P66=0, ,P66/AF66)</f>
        <v/>
      </c>
      <c r="BE66" s="103" t="n"/>
      <c r="BF66" s="103" t="n"/>
      <c r="BG66" s="103" t="n"/>
      <c r="BH66" s="103" t="n"/>
      <c r="BI66" s="103" t="n"/>
      <c r="BJ66" s="104" t="n"/>
      <c r="BT66" s="33" t="n">
        <v>0</v>
      </c>
      <c r="BU66" s="40" t="n">
        <v>0</v>
      </c>
      <c r="BV66" s="33" t="n"/>
    </row>
    <row r="67" ht="19" customHeight="1" s="100" thickBot="1">
      <c r="C67" s="2" t="n"/>
      <c r="E67" s="118">
        <f>E46</f>
        <v/>
      </c>
      <c r="F67" s="103" t="n"/>
      <c r="G67" s="103" t="n"/>
      <c r="H67" s="103" t="n"/>
      <c r="I67" s="103" t="n"/>
      <c r="J67" s="103" t="n"/>
      <c r="K67" s="104" t="n"/>
      <c r="L67" s="119">
        <f>L46</f>
        <v/>
      </c>
      <c r="M67" s="103" t="n"/>
      <c r="N67" s="103" t="n"/>
      <c r="O67" s="104" t="n"/>
      <c r="P67" s="120">
        <f>$P$59/14</f>
        <v/>
      </c>
      <c r="Q67" s="103" t="n"/>
      <c r="R67" s="103" t="n"/>
      <c r="S67" s="103" t="n"/>
      <c r="T67" s="103" t="n"/>
      <c r="U67" s="103" t="n"/>
      <c r="V67" s="103" t="n"/>
      <c r="W67" s="104" t="n"/>
      <c r="X67" s="107">
        <f>BU67</f>
        <v/>
      </c>
      <c r="Y67" s="103" t="n"/>
      <c r="Z67" s="103" t="n"/>
      <c r="AA67" s="103" t="n"/>
      <c r="AB67" s="103" t="n"/>
      <c r="AC67" s="103" t="n"/>
      <c r="AD67" s="103" t="n"/>
      <c r="AE67" s="104" t="n"/>
      <c r="AF67" s="113" t="n">
        <v>0</v>
      </c>
      <c r="AG67" s="103" t="n"/>
      <c r="AH67" s="103" t="n"/>
      <c r="AI67" s="103" t="n"/>
      <c r="AJ67" s="103" t="n"/>
      <c r="AK67" s="103" t="n"/>
      <c r="AL67" s="103" t="n"/>
      <c r="AM67" s="104" t="n"/>
      <c r="AN67" s="114">
        <f>AF67/X67*100</f>
        <v/>
      </c>
      <c r="AO67" s="103" t="n"/>
      <c r="AP67" s="103" t="n"/>
      <c r="AQ67" s="103" t="n"/>
      <c r="AR67" s="103" t="n"/>
      <c r="AS67" s="103" t="n"/>
      <c r="AT67" s="103" t="n"/>
      <c r="AU67" s="104" t="n"/>
      <c r="AV67" s="107">
        <f>IF(P67=0, ,P67/X67*1000)</f>
        <v/>
      </c>
      <c r="AW67" s="103" t="n"/>
      <c r="AX67" s="103" t="n"/>
      <c r="AY67" s="103" t="n"/>
      <c r="AZ67" s="103" t="n"/>
      <c r="BA67" s="103" t="n"/>
      <c r="BB67" s="103" t="n"/>
      <c r="BC67" s="104" t="n"/>
      <c r="BD67" s="113">
        <f>IF(P67=0, ,P67/AF67)</f>
        <v/>
      </c>
      <c r="BE67" s="103" t="n"/>
      <c r="BF67" s="103" t="n"/>
      <c r="BG67" s="103" t="n"/>
      <c r="BH67" s="103" t="n"/>
      <c r="BI67" s="103" t="n"/>
      <c r="BJ67" s="104" t="n"/>
      <c r="BT67" s="33" t="n">
        <v>0</v>
      </c>
      <c r="BU67" s="35" t="n">
        <v>0</v>
      </c>
    </row>
    <row r="68" ht="19" customHeight="1" s="100" thickBot="1">
      <c r="C68" s="2" t="n"/>
      <c r="E68" s="118">
        <f>E47</f>
        <v/>
      </c>
      <c r="F68" s="103" t="n"/>
      <c r="G68" s="103" t="n"/>
      <c r="H68" s="103" t="n"/>
      <c r="I68" s="103" t="n"/>
      <c r="J68" s="103" t="n"/>
      <c r="K68" s="104" t="n"/>
      <c r="L68" s="119">
        <f>L47</f>
        <v/>
      </c>
      <c r="M68" s="103" t="n"/>
      <c r="N68" s="103" t="n"/>
      <c r="O68" s="104" t="n"/>
      <c r="P68" s="120">
        <f>$P$59/14</f>
        <v/>
      </c>
      <c r="Q68" s="103" t="n"/>
      <c r="R68" s="103" t="n"/>
      <c r="S68" s="103" t="n"/>
      <c r="T68" s="103" t="n"/>
      <c r="U68" s="103" t="n"/>
      <c r="V68" s="103" t="n"/>
      <c r="W68" s="104" t="n"/>
      <c r="X68" s="107">
        <f>BU68</f>
        <v/>
      </c>
      <c r="Y68" s="103" t="n"/>
      <c r="Z68" s="103" t="n"/>
      <c r="AA68" s="103" t="n"/>
      <c r="AB68" s="103" t="n"/>
      <c r="AC68" s="103" t="n"/>
      <c r="AD68" s="103" t="n"/>
      <c r="AE68" s="104" t="n"/>
      <c r="AF68" s="113" t="n">
        <v>0</v>
      </c>
      <c r="AG68" s="103" t="n"/>
      <c r="AH68" s="103" t="n"/>
      <c r="AI68" s="103" t="n"/>
      <c r="AJ68" s="103" t="n"/>
      <c r="AK68" s="103" t="n"/>
      <c r="AL68" s="103" t="n"/>
      <c r="AM68" s="104" t="n"/>
      <c r="AN68" s="114">
        <f>AF68/X68*100</f>
        <v/>
      </c>
      <c r="AO68" s="103" t="n"/>
      <c r="AP68" s="103" t="n"/>
      <c r="AQ68" s="103" t="n"/>
      <c r="AR68" s="103" t="n"/>
      <c r="AS68" s="103" t="n"/>
      <c r="AT68" s="103" t="n"/>
      <c r="AU68" s="104" t="n"/>
      <c r="AV68" s="107">
        <f>IF(P68=0, ,P68/X68*1000)</f>
        <v/>
      </c>
      <c r="AW68" s="103" t="n"/>
      <c r="AX68" s="103" t="n"/>
      <c r="AY68" s="103" t="n"/>
      <c r="AZ68" s="103" t="n"/>
      <c r="BA68" s="103" t="n"/>
      <c r="BB68" s="103" t="n"/>
      <c r="BC68" s="104" t="n"/>
      <c r="BD68" s="113">
        <f>IF(P68=0, ,P68/AF68)</f>
        <v/>
      </c>
      <c r="BE68" s="103" t="n"/>
      <c r="BF68" s="103" t="n"/>
      <c r="BG68" s="103" t="n"/>
      <c r="BH68" s="103" t="n"/>
      <c r="BI68" s="103" t="n"/>
      <c r="BJ68" s="104" t="n"/>
      <c r="BT68" s="33" t="n">
        <v>0</v>
      </c>
      <c r="BU68" s="28" t="n">
        <v>0</v>
      </c>
    </row>
    <row r="69" ht="19" customHeight="1" s="100" thickBot="1">
      <c r="C69" s="2" t="n"/>
      <c r="E69" s="118">
        <f>E48</f>
        <v/>
      </c>
      <c r="F69" s="103" t="n"/>
      <c r="G69" s="103" t="n"/>
      <c r="H69" s="103" t="n"/>
      <c r="I69" s="103" t="n"/>
      <c r="J69" s="103" t="n"/>
      <c r="K69" s="104" t="n"/>
      <c r="L69" s="119">
        <f>L48</f>
        <v/>
      </c>
      <c r="M69" s="103" t="n"/>
      <c r="N69" s="103" t="n"/>
      <c r="O69" s="104" t="n"/>
      <c r="P69" s="120">
        <f>$P$59/14</f>
        <v/>
      </c>
      <c r="Q69" s="103" t="n"/>
      <c r="R69" s="103" t="n"/>
      <c r="S69" s="103" t="n"/>
      <c r="T69" s="103" t="n"/>
      <c r="U69" s="103" t="n"/>
      <c r="V69" s="103" t="n"/>
      <c r="W69" s="104" t="n"/>
      <c r="X69" s="107">
        <f>BU69</f>
        <v/>
      </c>
      <c r="Y69" s="103" t="n"/>
      <c r="Z69" s="103" t="n"/>
      <c r="AA69" s="103" t="n"/>
      <c r="AB69" s="103" t="n"/>
      <c r="AC69" s="103" t="n"/>
      <c r="AD69" s="103" t="n"/>
      <c r="AE69" s="104" t="n"/>
      <c r="AF69" s="113" t="n">
        <v>0</v>
      </c>
      <c r="AG69" s="103" t="n"/>
      <c r="AH69" s="103" t="n"/>
      <c r="AI69" s="103" t="n"/>
      <c r="AJ69" s="103" t="n"/>
      <c r="AK69" s="103" t="n"/>
      <c r="AL69" s="103" t="n"/>
      <c r="AM69" s="104" t="n"/>
      <c r="AN69" s="114">
        <f>AF69/X69*100</f>
        <v/>
      </c>
      <c r="AO69" s="103" t="n"/>
      <c r="AP69" s="103" t="n"/>
      <c r="AQ69" s="103" t="n"/>
      <c r="AR69" s="103" t="n"/>
      <c r="AS69" s="103" t="n"/>
      <c r="AT69" s="103" t="n"/>
      <c r="AU69" s="104" t="n"/>
      <c r="AV69" s="107">
        <f>IF(P69=0, ,P69/X69*1000)</f>
        <v/>
      </c>
      <c r="AW69" s="103" t="n"/>
      <c r="AX69" s="103" t="n"/>
      <c r="AY69" s="103" t="n"/>
      <c r="AZ69" s="103" t="n"/>
      <c r="BA69" s="103" t="n"/>
      <c r="BB69" s="103" t="n"/>
      <c r="BC69" s="104" t="n"/>
      <c r="BD69" s="113">
        <f>IF(P69=0, ,P69/AF69)</f>
        <v/>
      </c>
      <c r="BE69" s="103" t="n"/>
      <c r="BF69" s="103" t="n"/>
      <c r="BG69" s="103" t="n"/>
      <c r="BH69" s="103" t="n"/>
      <c r="BI69" s="103" t="n"/>
      <c r="BJ69" s="104" t="n"/>
      <c r="BT69" s="33" t="n">
        <v>0</v>
      </c>
      <c r="BU69" s="28" t="n">
        <v>0</v>
      </c>
    </row>
    <row r="70" ht="19" customHeight="1" s="100" thickBot="1">
      <c r="C70" s="2" t="n"/>
      <c r="E70" s="118">
        <f>E49</f>
        <v/>
      </c>
      <c r="F70" s="103" t="n"/>
      <c r="G70" s="103" t="n"/>
      <c r="H70" s="103" t="n"/>
      <c r="I70" s="103" t="n"/>
      <c r="J70" s="103" t="n"/>
      <c r="K70" s="104" t="n"/>
      <c r="L70" s="119">
        <f>L49</f>
        <v/>
      </c>
      <c r="M70" s="103" t="n"/>
      <c r="N70" s="103" t="n"/>
      <c r="O70" s="104" t="n"/>
      <c r="P70" s="120">
        <f>$P$59/14</f>
        <v/>
      </c>
      <c r="Q70" s="103" t="n"/>
      <c r="R70" s="103" t="n"/>
      <c r="S70" s="103" t="n"/>
      <c r="T70" s="103" t="n"/>
      <c r="U70" s="103" t="n"/>
      <c r="V70" s="103" t="n"/>
      <c r="W70" s="104" t="n"/>
      <c r="X70" s="107">
        <f>BU70</f>
        <v/>
      </c>
      <c r="Y70" s="103" t="n"/>
      <c r="Z70" s="103" t="n"/>
      <c r="AA70" s="103" t="n"/>
      <c r="AB70" s="103" t="n"/>
      <c r="AC70" s="103" t="n"/>
      <c r="AD70" s="103" t="n"/>
      <c r="AE70" s="104" t="n"/>
      <c r="AF70" s="113" t="n">
        <v>0</v>
      </c>
      <c r="AG70" s="103" t="n"/>
      <c r="AH70" s="103" t="n"/>
      <c r="AI70" s="103" t="n"/>
      <c r="AJ70" s="103" t="n"/>
      <c r="AK70" s="103" t="n"/>
      <c r="AL70" s="103" t="n"/>
      <c r="AM70" s="104" t="n"/>
      <c r="AN70" s="114">
        <f>AF70/X70*100</f>
        <v/>
      </c>
      <c r="AO70" s="103" t="n"/>
      <c r="AP70" s="103" t="n"/>
      <c r="AQ70" s="103" t="n"/>
      <c r="AR70" s="103" t="n"/>
      <c r="AS70" s="103" t="n"/>
      <c r="AT70" s="103" t="n"/>
      <c r="AU70" s="104" t="n"/>
      <c r="AV70" s="107">
        <f>IF(P70=0, ,P70/X70*1000)</f>
        <v/>
      </c>
      <c r="AW70" s="103" t="n"/>
      <c r="AX70" s="103" t="n"/>
      <c r="AY70" s="103" t="n"/>
      <c r="AZ70" s="103" t="n"/>
      <c r="BA70" s="103" t="n"/>
      <c r="BB70" s="103" t="n"/>
      <c r="BC70" s="104" t="n"/>
      <c r="BD70" s="113">
        <f>IF(P70=0, ,P70/AF70)</f>
        <v/>
      </c>
      <c r="BE70" s="103" t="n"/>
      <c r="BF70" s="103" t="n"/>
      <c r="BG70" s="103" t="n"/>
      <c r="BH70" s="103" t="n"/>
      <c r="BI70" s="103" t="n"/>
      <c r="BJ70" s="104" t="n"/>
      <c r="BT70" s="33" t="n">
        <v>0</v>
      </c>
      <c r="BU70" s="28" t="n">
        <v>0</v>
      </c>
    </row>
    <row r="71" ht="19" customHeight="1" s="100" thickBot="1">
      <c r="C71" s="2" t="n"/>
      <c r="E71" s="118">
        <f>E50</f>
        <v/>
      </c>
      <c r="F71" s="103" t="n"/>
      <c r="G71" s="103" t="n"/>
      <c r="H71" s="103" t="n"/>
      <c r="I71" s="103" t="n"/>
      <c r="J71" s="103" t="n"/>
      <c r="K71" s="104" t="n"/>
      <c r="L71" s="119">
        <f>L50</f>
        <v/>
      </c>
      <c r="M71" s="103" t="n"/>
      <c r="N71" s="103" t="n"/>
      <c r="O71" s="104" t="n"/>
      <c r="P71" s="120">
        <f>$P$59/14</f>
        <v/>
      </c>
      <c r="Q71" s="103" t="n"/>
      <c r="R71" s="103" t="n"/>
      <c r="S71" s="103" t="n"/>
      <c r="T71" s="103" t="n"/>
      <c r="U71" s="103" t="n"/>
      <c r="V71" s="103" t="n"/>
      <c r="W71" s="104" t="n"/>
      <c r="X71" s="107">
        <f>BU71</f>
        <v/>
      </c>
      <c r="Y71" s="103" t="n"/>
      <c r="Z71" s="103" t="n"/>
      <c r="AA71" s="103" t="n"/>
      <c r="AB71" s="103" t="n"/>
      <c r="AC71" s="103" t="n"/>
      <c r="AD71" s="103" t="n"/>
      <c r="AE71" s="104" t="n"/>
      <c r="AF71" s="113" t="n">
        <v>0</v>
      </c>
      <c r="AG71" s="103" t="n"/>
      <c r="AH71" s="103" t="n"/>
      <c r="AI71" s="103" t="n"/>
      <c r="AJ71" s="103" t="n"/>
      <c r="AK71" s="103" t="n"/>
      <c r="AL71" s="103" t="n"/>
      <c r="AM71" s="104" t="n"/>
      <c r="AN71" s="114">
        <f>AF71/X71*100</f>
        <v/>
      </c>
      <c r="AO71" s="103" t="n"/>
      <c r="AP71" s="103" t="n"/>
      <c r="AQ71" s="103" t="n"/>
      <c r="AR71" s="103" t="n"/>
      <c r="AS71" s="103" t="n"/>
      <c r="AT71" s="103" t="n"/>
      <c r="AU71" s="104" t="n"/>
      <c r="AV71" s="107">
        <f>IF(P71=0, ,P71/X71*1000)</f>
        <v/>
      </c>
      <c r="AW71" s="103" t="n"/>
      <c r="AX71" s="103" t="n"/>
      <c r="AY71" s="103" t="n"/>
      <c r="AZ71" s="103" t="n"/>
      <c r="BA71" s="103" t="n"/>
      <c r="BB71" s="103" t="n"/>
      <c r="BC71" s="104" t="n"/>
      <c r="BD71" s="113">
        <f>IF(P71=0, ,P71/AF71)</f>
        <v/>
      </c>
      <c r="BE71" s="103" t="n"/>
      <c r="BF71" s="103" t="n"/>
      <c r="BG71" s="103" t="n"/>
      <c r="BH71" s="103" t="n"/>
      <c r="BI71" s="103" t="n"/>
      <c r="BJ71" s="104" t="n"/>
      <c r="BT71" s="33" t="n">
        <v>0</v>
      </c>
      <c r="BU71" s="28" t="n">
        <v>0</v>
      </c>
    </row>
    <row r="72" ht="19" customHeight="1" s="100" thickBot="1">
      <c r="C72" s="2" t="n"/>
      <c r="E72" s="118">
        <f>E51</f>
        <v/>
      </c>
      <c r="F72" s="103" t="n"/>
      <c r="G72" s="103" t="n"/>
      <c r="H72" s="103" t="n"/>
      <c r="I72" s="103" t="n"/>
      <c r="J72" s="103" t="n"/>
      <c r="K72" s="104" t="n"/>
      <c r="L72" s="119">
        <f>L51</f>
        <v/>
      </c>
      <c r="M72" s="103" t="n"/>
      <c r="N72" s="103" t="n"/>
      <c r="O72" s="104" t="n"/>
      <c r="P72" s="120">
        <f>$P$59/14</f>
        <v/>
      </c>
      <c r="Q72" s="103" t="n"/>
      <c r="R72" s="103" t="n"/>
      <c r="S72" s="103" t="n"/>
      <c r="T72" s="103" t="n"/>
      <c r="U72" s="103" t="n"/>
      <c r="V72" s="103" t="n"/>
      <c r="W72" s="104" t="n"/>
      <c r="X72" s="107">
        <f>BU72</f>
        <v/>
      </c>
      <c r="Y72" s="103" t="n"/>
      <c r="Z72" s="103" t="n"/>
      <c r="AA72" s="103" t="n"/>
      <c r="AB72" s="103" t="n"/>
      <c r="AC72" s="103" t="n"/>
      <c r="AD72" s="103" t="n"/>
      <c r="AE72" s="104" t="n"/>
      <c r="AF72" s="113" t="n">
        <v>0</v>
      </c>
      <c r="AG72" s="103" t="n"/>
      <c r="AH72" s="103" t="n"/>
      <c r="AI72" s="103" t="n"/>
      <c r="AJ72" s="103" t="n"/>
      <c r="AK72" s="103" t="n"/>
      <c r="AL72" s="103" t="n"/>
      <c r="AM72" s="104" t="n"/>
      <c r="AN72" s="114">
        <f>AF72/X72*100</f>
        <v/>
      </c>
      <c r="AO72" s="103" t="n"/>
      <c r="AP72" s="103" t="n"/>
      <c r="AQ72" s="103" t="n"/>
      <c r="AR72" s="103" t="n"/>
      <c r="AS72" s="103" t="n"/>
      <c r="AT72" s="103" t="n"/>
      <c r="AU72" s="104" t="n"/>
      <c r="AV72" s="107">
        <f>IF(P72=0, ,P72/X72*1000)</f>
        <v/>
      </c>
      <c r="AW72" s="103" t="n"/>
      <c r="AX72" s="103" t="n"/>
      <c r="AY72" s="103" t="n"/>
      <c r="AZ72" s="103" t="n"/>
      <c r="BA72" s="103" t="n"/>
      <c r="BB72" s="103" t="n"/>
      <c r="BC72" s="104" t="n"/>
      <c r="BD72" s="113">
        <f>IF(P72=0, ,P72/AF72)</f>
        <v/>
      </c>
      <c r="BE72" s="103" t="n"/>
      <c r="BF72" s="103" t="n"/>
      <c r="BG72" s="103" t="n"/>
      <c r="BH72" s="103" t="n"/>
      <c r="BI72" s="103" t="n"/>
      <c r="BJ72" s="104" t="n"/>
      <c r="BT72" s="33" t="n">
        <v>0</v>
      </c>
      <c r="BU72" s="28" t="n">
        <v>0</v>
      </c>
    </row>
    <row r="73" ht="19" customHeight="1" s="100" thickBot="1">
      <c r="C73" s="2" t="n"/>
      <c r="E73" s="118">
        <f>E52</f>
        <v/>
      </c>
      <c r="F73" s="103" t="n"/>
      <c r="G73" s="103" t="n"/>
      <c r="H73" s="103" t="n"/>
      <c r="I73" s="103" t="n"/>
      <c r="J73" s="103" t="n"/>
      <c r="K73" s="104" t="n"/>
      <c r="L73" s="119">
        <f>L52</f>
        <v/>
      </c>
      <c r="M73" s="103" t="n"/>
      <c r="N73" s="103" t="n"/>
      <c r="O73" s="104" t="n"/>
      <c r="P73" s="120">
        <f>$P$59/14</f>
        <v/>
      </c>
      <c r="Q73" s="103" t="n"/>
      <c r="R73" s="103" t="n"/>
      <c r="S73" s="103" t="n"/>
      <c r="T73" s="103" t="n"/>
      <c r="U73" s="103" t="n"/>
      <c r="V73" s="103" t="n"/>
      <c r="W73" s="104" t="n"/>
      <c r="X73" s="107">
        <f>BU73</f>
        <v/>
      </c>
      <c r="Y73" s="103" t="n"/>
      <c r="Z73" s="103" t="n"/>
      <c r="AA73" s="103" t="n"/>
      <c r="AB73" s="103" t="n"/>
      <c r="AC73" s="103" t="n"/>
      <c r="AD73" s="103" t="n"/>
      <c r="AE73" s="104" t="n"/>
      <c r="AF73" s="113" t="n">
        <v>0</v>
      </c>
      <c r="AG73" s="103" t="n"/>
      <c r="AH73" s="103" t="n"/>
      <c r="AI73" s="103" t="n"/>
      <c r="AJ73" s="103" t="n"/>
      <c r="AK73" s="103" t="n"/>
      <c r="AL73" s="103" t="n"/>
      <c r="AM73" s="104" t="n"/>
      <c r="AN73" s="114">
        <f>AF73/X73*100</f>
        <v/>
      </c>
      <c r="AO73" s="103" t="n"/>
      <c r="AP73" s="103" t="n"/>
      <c r="AQ73" s="103" t="n"/>
      <c r="AR73" s="103" t="n"/>
      <c r="AS73" s="103" t="n"/>
      <c r="AT73" s="103" t="n"/>
      <c r="AU73" s="104" t="n"/>
      <c r="AV73" s="107">
        <f>IF(P73=0, ,P73/X73*1000)</f>
        <v/>
      </c>
      <c r="AW73" s="103" t="n"/>
      <c r="AX73" s="103" t="n"/>
      <c r="AY73" s="103" t="n"/>
      <c r="AZ73" s="103" t="n"/>
      <c r="BA73" s="103" t="n"/>
      <c r="BB73" s="103" t="n"/>
      <c r="BC73" s="104" t="n"/>
      <c r="BD73" s="113">
        <f>IF(P73=0, ,P73/AF73)</f>
        <v/>
      </c>
      <c r="BE73" s="103" t="n"/>
      <c r="BF73" s="103" t="n"/>
      <c r="BG73" s="103" t="n"/>
      <c r="BH73" s="103" t="n"/>
      <c r="BI73" s="103" t="n"/>
      <c r="BJ73" s="104" t="n"/>
      <c r="BT73" s="33" t="n">
        <v>0</v>
      </c>
      <c r="BU73" s="28" t="n">
        <v>0</v>
      </c>
    </row>
    <row r="74" ht="19" customHeight="1" s="100">
      <c r="C74" s="2" t="n"/>
      <c r="E74" s="123" t="n"/>
      <c r="F74" s="124" t="n"/>
      <c r="G74" s="124" t="n"/>
      <c r="H74" s="124" t="n"/>
      <c r="I74" s="124" t="n"/>
      <c r="J74" s="124" t="n"/>
      <c r="K74" s="124" t="n"/>
      <c r="L74" s="38" t="n"/>
      <c r="M74" s="38" t="n"/>
      <c r="N74" s="38" t="n"/>
      <c r="O74" s="38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6" t="n"/>
      <c r="Y74" s="126" t="n"/>
      <c r="Z74" s="126" t="n"/>
      <c r="AA74" s="126" t="n"/>
      <c r="AB74" s="126" t="n"/>
      <c r="AC74" s="126" t="n"/>
      <c r="AD74" s="126" t="n"/>
      <c r="AE74" s="126" t="n"/>
      <c r="AF74" s="126" t="n"/>
      <c r="AG74" s="126" t="n"/>
      <c r="AH74" s="126" t="n"/>
      <c r="AI74" s="126" t="n"/>
      <c r="AJ74" s="126" t="n"/>
      <c r="AK74" s="126" t="n"/>
      <c r="AL74" s="126" t="n"/>
      <c r="AM74" s="126" t="n"/>
      <c r="AN74" s="127" t="n"/>
      <c r="AO74" s="127" t="n"/>
      <c r="AP74" s="127" t="n"/>
      <c r="AQ74" s="127" t="n"/>
      <c r="AR74" s="127" t="n"/>
      <c r="AS74" s="127" t="n"/>
      <c r="AT74" s="127" t="n"/>
      <c r="AU74" s="127" t="n"/>
      <c r="AV74" s="126" t="n"/>
      <c r="AW74" s="126" t="n"/>
      <c r="AX74" s="126" t="n"/>
      <c r="AY74" s="126" t="n"/>
      <c r="AZ74" s="126" t="n"/>
      <c r="BA74" s="126" t="n"/>
      <c r="BB74" s="126" t="n"/>
      <c r="BC74" s="126" t="n"/>
      <c r="BD74" s="126" t="n"/>
      <c r="BE74" s="126" t="n"/>
      <c r="BF74" s="126" t="n"/>
      <c r="BG74" s="126" t="n"/>
      <c r="BH74" s="126" t="n"/>
      <c r="BI74" s="126" t="n"/>
      <c r="BJ74" s="126" t="n"/>
      <c r="BT74" s="34" t="n"/>
      <c r="BU74" s="35" t="n"/>
    </row>
    <row r="75" ht="15" customHeight="1" s="100">
      <c r="C75" s="2" t="n"/>
    </row>
    <row r="76" ht="22" customHeight="1" s="100">
      <c r="C76" s="2" t="n"/>
      <c r="E76" s="3" t="inlineStr">
        <is>
          <t>② 앱 오픈 팝업</t>
        </is>
      </c>
      <c r="BJ76" s="32" t="inlineStr">
        <is>
          <t>(단위 : 원, 건, %)</t>
        </is>
      </c>
    </row>
    <row r="77" ht="10" customHeight="1" s="100">
      <c r="C77" s="2" t="n"/>
    </row>
    <row r="78" ht="22" customHeight="1" s="100">
      <c r="C78" s="2" t="n"/>
      <c r="E78" s="64" t="inlineStr">
        <is>
          <t>구 분</t>
        </is>
      </c>
      <c r="F78" s="103" t="n"/>
      <c r="G78" s="103" t="n"/>
      <c r="H78" s="103" t="n"/>
      <c r="I78" s="103" t="n"/>
      <c r="J78" s="103" t="n"/>
      <c r="K78" s="103" t="n"/>
      <c r="L78" s="103" t="n"/>
      <c r="M78" s="103" t="n"/>
      <c r="N78" s="103" t="n"/>
      <c r="O78" s="104" t="n"/>
      <c r="P78" s="64" t="inlineStr">
        <is>
          <t>집행 금액</t>
        </is>
      </c>
      <c r="Q78" s="103" t="n"/>
      <c r="R78" s="103" t="n"/>
      <c r="S78" s="103" t="n"/>
      <c r="T78" s="103" t="n"/>
      <c r="U78" s="103" t="n"/>
      <c r="V78" s="103" t="n"/>
      <c r="W78" s="104" t="n"/>
      <c r="X78" s="64" t="inlineStr">
        <is>
          <t>Imps</t>
        </is>
      </c>
      <c r="Y78" s="103" t="n"/>
      <c r="Z78" s="103" t="n"/>
      <c r="AA78" s="103" t="n"/>
      <c r="AB78" s="103" t="n"/>
      <c r="AC78" s="103" t="n"/>
      <c r="AD78" s="103" t="n"/>
      <c r="AE78" s="104" t="n"/>
      <c r="AF78" s="64" t="inlineStr">
        <is>
          <t>Click</t>
        </is>
      </c>
      <c r="AG78" s="103" t="n"/>
      <c r="AH78" s="103" t="n"/>
      <c r="AI78" s="103" t="n"/>
      <c r="AJ78" s="103" t="n"/>
      <c r="AK78" s="103" t="n"/>
      <c r="AL78" s="103" t="n"/>
      <c r="AM78" s="104" t="n"/>
      <c r="AN78" s="64" t="inlineStr">
        <is>
          <t>CTR</t>
        </is>
      </c>
      <c r="AO78" s="103" t="n"/>
      <c r="AP78" s="103" t="n"/>
      <c r="AQ78" s="103" t="n"/>
      <c r="AR78" s="103" t="n"/>
      <c r="AS78" s="103" t="n"/>
      <c r="AT78" s="103" t="n"/>
      <c r="AU78" s="104" t="n"/>
      <c r="AV78" s="64" t="inlineStr">
        <is>
          <t>CPM</t>
        </is>
      </c>
      <c r="AW78" s="103" t="n"/>
      <c r="AX78" s="103" t="n"/>
      <c r="AY78" s="103" t="n"/>
      <c r="AZ78" s="103" t="n"/>
      <c r="BA78" s="103" t="n"/>
      <c r="BB78" s="103" t="n"/>
      <c r="BC78" s="104" t="n"/>
      <c r="BD78" s="64" t="inlineStr">
        <is>
          <t>CPC</t>
        </is>
      </c>
      <c r="BE78" s="103" t="n"/>
      <c r="BF78" s="103" t="n"/>
      <c r="BG78" s="103" t="n"/>
      <c r="BH78" s="103" t="n"/>
      <c r="BI78" s="103" t="n"/>
      <c r="BJ78" s="104" t="n"/>
    </row>
    <row r="79" ht="22" customHeight="1" s="100" thickBot="1">
      <c r="C79" s="2" t="n"/>
      <c r="E79" s="60" t="inlineStr">
        <is>
          <t>Total</t>
        </is>
      </c>
      <c r="F79" s="103" t="n"/>
      <c r="G79" s="103" t="n"/>
      <c r="H79" s="103" t="n"/>
      <c r="I79" s="103" t="n"/>
      <c r="J79" s="103" t="n"/>
      <c r="K79" s="103" t="n"/>
      <c r="L79" s="103" t="n"/>
      <c r="M79" s="103" t="n"/>
      <c r="N79" s="103" t="n"/>
      <c r="O79" s="104" t="n"/>
      <c r="P79" s="110">
        <f>P30</f>
        <v/>
      </c>
      <c r="Q79" s="103" t="n"/>
      <c r="R79" s="103" t="n"/>
      <c r="S79" s="103" t="n"/>
      <c r="T79" s="103" t="n"/>
      <c r="U79" s="103" t="n"/>
      <c r="V79" s="103" t="n"/>
      <c r="W79" s="104" t="n"/>
      <c r="X79" s="110">
        <f>SUM(X80:AE93)</f>
        <v/>
      </c>
      <c r="Y79" s="103" t="n"/>
      <c r="Z79" s="103" t="n"/>
      <c r="AA79" s="103" t="n"/>
      <c r="AB79" s="103" t="n"/>
      <c r="AC79" s="103" t="n"/>
      <c r="AD79" s="103" t="n"/>
      <c r="AE79" s="104" t="n"/>
      <c r="AF79" s="110">
        <f>SUM(AF80:AM93)</f>
        <v/>
      </c>
      <c r="AG79" s="103" t="n"/>
      <c r="AH79" s="103" t="n"/>
      <c r="AI79" s="103" t="n"/>
      <c r="AJ79" s="103" t="n"/>
      <c r="AK79" s="103" t="n"/>
      <c r="AL79" s="103" t="n"/>
      <c r="AM79" s="104" t="n"/>
      <c r="AN79" s="111">
        <f>AF79/X79*100</f>
        <v/>
      </c>
      <c r="AO79" s="103" t="n"/>
      <c r="AP79" s="103" t="n"/>
      <c r="AQ79" s="103" t="n"/>
      <c r="AR79" s="103" t="n"/>
      <c r="AS79" s="103" t="n"/>
      <c r="AT79" s="103" t="n"/>
      <c r="AU79" s="104" t="n"/>
      <c r="AV79" s="110">
        <f>IF(P79=0, ,P79/X79*1000)</f>
        <v/>
      </c>
      <c r="AW79" s="103" t="n"/>
      <c r="AX79" s="103" t="n"/>
      <c r="AY79" s="103" t="n"/>
      <c r="AZ79" s="103" t="n"/>
      <c r="BA79" s="103" t="n"/>
      <c r="BB79" s="103" t="n"/>
      <c r="BC79" s="104" t="n"/>
      <c r="BD79" s="110">
        <f>IF(P79=0, ,P79/AF79)</f>
        <v/>
      </c>
      <c r="BE79" s="103" t="n"/>
      <c r="BF79" s="103" t="n"/>
      <c r="BG79" s="103" t="n"/>
      <c r="BH79" s="103" t="n"/>
      <c r="BI79" s="103" t="n"/>
      <c r="BJ79" s="104" t="n"/>
    </row>
    <row r="80" ht="19" customHeight="1" s="100" thickBot="1">
      <c r="C80" s="2" t="n"/>
      <c r="E80" s="118">
        <f>E39</f>
        <v/>
      </c>
      <c r="F80" s="103" t="n"/>
      <c r="G80" s="103" t="n"/>
      <c r="H80" s="103" t="n"/>
      <c r="I80" s="103" t="n"/>
      <c r="J80" s="103" t="n"/>
      <c r="K80" s="104" t="n"/>
      <c r="L80" s="119">
        <f>L39</f>
        <v/>
      </c>
      <c r="M80" s="103" t="n"/>
      <c r="N80" s="103" t="n"/>
      <c r="O80" s="104" t="n"/>
      <c r="P80" s="120">
        <f>$P$79/14</f>
        <v/>
      </c>
      <c r="Q80" s="103" t="n"/>
      <c r="R80" s="103" t="n"/>
      <c r="S80" s="103" t="n"/>
      <c r="T80" s="103" t="n"/>
      <c r="U80" s="103" t="n"/>
      <c r="V80" s="103" t="n"/>
      <c r="W80" s="104" t="n"/>
      <c r="X80" s="128">
        <f>BU80</f>
        <v/>
      </c>
      <c r="Y80" s="103" t="n"/>
      <c r="Z80" s="103" t="n"/>
      <c r="AA80" s="103" t="n"/>
      <c r="AB80" s="103" t="n"/>
      <c r="AC80" s="103" t="n"/>
      <c r="AD80" s="103" t="n"/>
      <c r="AE80" s="104" t="n"/>
      <c r="AF80" s="128">
        <f>BV80</f>
        <v/>
      </c>
      <c r="AG80" s="103" t="n"/>
      <c r="AH80" s="103" t="n"/>
      <c r="AI80" s="103" t="n"/>
      <c r="AJ80" s="103" t="n"/>
      <c r="AK80" s="103" t="n"/>
      <c r="AL80" s="103" t="n"/>
      <c r="AM80" s="104" t="n"/>
      <c r="AN80" s="116">
        <f>AF80/X80*100</f>
        <v/>
      </c>
      <c r="AO80" s="103" t="n"/>
      <c r="AP80" s="103" t="n"/>
      <c r="AQ80" s="103" t="n"/>
      <c r="AR80" s="103" t="n"/>
      <c r="AS80" s="103" t="n"/>
      <c r="AT80" s="103" t="n"/>
      <c r="AU80" s="104" t="n"/>
      <c r="AV80" s="107">
        <f>IF(P80=0, ,P80/X80*1000)</f>
        <v/>
      </c>
      <c r="AW80" s="103" t="n"/>
      <c r="AX80" s="103" t="n"/>
      <c r="AY80" s="103" t="n"/>
      <c r="AZ80" s="103" t="n"/>
      <c r="BA80" s="103" t="n"/>
      <c r="BB80" s="103" t="n"/>
      <c r="BC80" s="104" t="n"/>
      <c r="BD80" s="107">
        <f>IF(P80=0, ,P80/AF80)</f>
        <v/>
      </c>
      <c r="BE80" s="103" t="n"/>
      <c r="BF80" s="103" t="n"/>
      <c r="BG80" s="103" t="n"/>
      <c r="BH80" s="103" t="n"/>
      <c r="BI80" s="103" t="n"/>
      <c r="BJ80" s="104" t="n"/>
      <c r="BT80" s="33" t="n">
        <v>0</v>
      </c>
      <c r="BU80" s="40" t="n">
        <v>0</v>
      </c>
      <c r="BV80" s="33" t="n">
        <v>0</v>
      </c>
    </row>
    <row r="81" ht="19" customHeight="1" s="100" thickBot="1">
      <c r="C81" s="2" t="n"/>
      <c r="E81" s="118">
        <f>E40</f>
        <v/>
      </c>
      <c r="F81" s="103" t="n"/>
      <c r="G81" s="103" t="n"/>
      <c r="H81" s="103" t="n"/>
      <c r="I81" s="103" t="n"/>
      <c r="J81" s="103" t="n"/>
      <c r="K81" s="104" t="n"/>
      <c r="L81" s="119">
        <f>L40</f>
        <v/>
      </c>
      <c r="M81" s="103" t="n"/>
      <c r="N81" s="103" t="n"/>
      <c r="O81" s="104" t="n"/>
      <c r="P81" s="120">
        <f>$P$79/14</f>
        <v/>
      </c>
      <c r="Q81" s="103" t="n"/>
      <c r="R81" s="103" t="n"/>
      <c r="S81" s="103" t="n"/>
      <c r="T81" s="103" t="n"/>
      <c r="U81" s="103" t="n"/>
      <c r="V81" s="103" t="n"/>
      <c r="W81" s="104" t="n"/>
      <c r="X81" s="128">
        <f>BU81</f>
        <v/>
      </c>
      <c r="Y81" s="103" t="n"/>
      <c r="Z81" s="103" t="n"/>
      <c r="AA81" s="103" t="n"/>
      <c r="AB81" s="103" t="n"/>
      <c r="AC81" s="103" t="n"/>
      <c r="AD81" s="103" t="n"/>
      <c r="AE81" s="104" t="n"/>
      <c r="AF81" s="128">
        <f>BV81</f>
        <v/>
      </c>
      <c r="AG81" s="103" t="n"/>
      <c r="AH81" s="103" t="n"/>
      <c r="AI81" s="103" t="n"/>
      <c r="AJ81" s="103" t="n"/>
      <c r="AK81" s="103" t="n"/>
      <c r="AL81" s="103" t="n"/>
      <c r="AM81" s="104" t="n"/>
      <c r="AN81" s="116">
        <f>AF81/X81*100</f>
        <v/>
      </c>
      <c r="AO81" s="103" t="n"/>
      <c r="AP81" s="103" t="n"/>
      <c r="AQ81" s="103" t="n"/>
      <c r="AR81" s="103" t="n"/>
      <c r="AS81" s="103" t="n"/>
      <c r="AT81" s="103" t="n"/>
      <c r="AU81" s="104" t="n"/>
      <c r="AV81" s="107">
        <f>IF(P81=0, ,P81/X81*1000)</f>
        <v/>
      </c>
      <c r="AW81" s="103" t="n"/>
      <c r="AX81" s="103" t="n"/>
      <c r="AY81" s="103" t="n"/>
      <c r="AZ81" s="103" t="n"/>
      <c r="BA81" s="103" t="n"/>
      <c r="BB81" s="103" t="n"/>
      <c r="BC81" s="104" t="n"/>
      <c r="BD81" s="107">
        <f>IF(P81=0, ,P81/AF81)</f>
        <v/>
      </c>
      <c r="BE81" s="103" t="n"/>
      <c r="BF81" s="103" t="n"/>
      <c r="BG81" s="103" t="n"/>
      <c r="BH81" s="103" t="n"/>
      <c r="BI81" s="103" t="n"/>
      <c r="BJ81" s="104" t="n"/>
      <c r="BT81" s="33" t="n">
        <v>0</v>
      </c>
      <c r="BU81" s="40" t="n">
        <v>0</v>
      </c>
      <c r="BV81" s="33" t="n">
        <v>0</v>
      </c>
    </row>
    <row r="82" ht="19" customHeight="1" s="100" thickBot="1">
      <c r="C82" s="2" t="n"/>
      <c r="E82" s="118">
        <f>E41</f>
        <v/>
      </c>
      <c r="F82" s="103" t="n"/>
      <c r="G82" s="103" t="n"/>
      <c r="H82" s="103" t="n"/>
      <c r="I82" s="103" t="n"/>
      <c r="J82" s="103" t="n"/>
      <c r="K82" s="104" t="n"/>
      <c r="L82" s="119">
        <f>L41</f>
        <v/>
      </c>
      <c r="M82" s="103" t="n"/>
      <c r="N82" s="103" t="n"/>
      <c r="O82" s="104" t="n"/>
      <c r="P82" s="120">
        <f>$P$79/14</f>
        <v/>
      </c>
      <c r="Q82" s="103" t="n"/>
      <c r="R82" s="103" t="n"/>
      <c r="S82" s="103" t="n"/>
      <c r="T82" s="103" t="n"/>
      <c r="U82" s="103" t="n"/>
      <c r="V82" s="103" t="n"/>
      <c r="W82" s="104" t="n"/>
      <c r="X82" s="128">
        <f>BU82</f>
        <v/>
      </c>
      <c r="Y82" s="103" t="n"/>
      <c r="Z82" s="103" t="n"/>
      <c r="AA82" s="103" t="n"/>
      <c r="AB82" s="103" t="n"/>
      <c r="AC82" s="103" t="n"/>
      <c r="AD82" s="103" t="n"/>
      <c r="AE82" s="104" t="n"/>
      <c r="AF82" s="128">
        <f>BV82</f>
        <v/>
      </c>
      <c r="AG82" s="103" t="n"/>
      <c r="AH82" s="103" t="n"/>
      <c r="AI82" s="103" t="n"/>
      <c r="AJ82" s="103" t="n"/>
      <c r="AK82" s="103" t="n"/>
      <c r="AL82" s="103" t="n"/>
      <c r="AM82" s="104" t="n"/>
      <c r="AN82" s="116">
        <f>AF82/X82*100</f>
        <v/>
      </c>
      <c r="AO82" s="103" t="n"/>
      <c r="AP82" s="103" t="n"/>
      <c r="AQ82" s="103" t="n"/>
      <c r="AR82" s="103" t="n"/>
      <c r="AS82" s="103" t="n"/>
      <c r="AT82" s="103" t="n"/>
      <c r="AU82" s="104" t="n"/>
      <c r="AV82" s="107">
        <f>IF(P82=0, ,P82/X82*1000)</f>
        <v/>
      </c>
      <c r="AW82" s="103" t="n"/>
      <c r="AX82" s="103" t="n"/>
      <c r="AY82" s="103" t="n"/>
      <c r="AZ82" s="103" t="n"/>
      <c r="BA82" s="103" t="n"/>
      <c r="BB82" s="103" t="n"/>
      <c r="BC82" s="104" t="n"/>
      <c r="BD82" s="107">
        <f>IF(P82=0, ,P82/AF82)</f>
        <v/>
      </c>
      <c r="BE82" s="103" t="n"/>
      <c r="BF82" s="103" t="n"/>
      <c r="BG82" s="103" t="n"/>
      <c r="BH82" s="103" t="n"/>
      <c r="BI82" s="103" t="n"/>
      <c r="BJ82" s="104" t="n"/>
      <c r="BT82" s="33" t="n">
        <v>0</v>
      </c>
      <c r="BU82" s="40" t="n">
        <v>0</v>
      </c>
      <c r="BV82" s="33" t="n">
        <v>0</v>
      </c>
    </row>
    <row r="83" ht="19" customHeight="1" s="100" thickBot="1">
      <c r="C83" s="2" t="n"/>
      <c r="E83" s="118">
        <f>E42</f>
        <v/>
      </c>
      <c r="F83" s="103" t="n"/>
      <c r="G83" s="103" t="n"/>
      <c r="H83" s="103" t="n"/>
      <c r="I83" s="103" t="n"/>
      <c r="J83" s="103" t="n"/>
      <c r="K83" s="104" t="n"/>
      <c r="L83" s="119">
        <f>L42</f>
        <v/>
      </c>
      <c r="M83" s="103" t="n"/>
      <c r="N83" s="103" t="n"/>
      <c r="O83" s="104" t="n"/>
      <c r="P83" s="120">
        <f>$P$79/14</f>
        <v/>
      </c>
      <c r="Q83" s="103" t="n"/>
      <c r="R83" s="103" t="n"/>
      <c r="S83" s="103" t="n"/>
      <c r="T83" s="103" t="n"/>
      <c r="U83" s="103" t="n"/>
      <c r="V83" s="103" t="n"/>
      <c r="W83" s="104" t="n"/>
      <c r="X83" s="128">
        <f>BU83</f>
        <v/>
      </c>
      <c r="Y83" s="103" t="n"/>
      <c r="Z83" s="103" t="n"/>
      <c r="AA83" s="103" t="n"/>
      <c r="AB83" s="103" t="n"/>
      <c r="AC83" s="103" t="n"/>
      <c r="AD83" s="103" t="n"/>
      <c r="AE83" s="104" t="n"/>
      <c r="AF83" s="128">
        <f>BV83</f>
        <v/>
      </c>
      <c r="AG83" s="103" t="n"/>
      <c r="AH83" s="103" t="n"/>
      <c r="AI83" s="103" t="n"/>
      <c r="AJ83" s="103" t="n"/>
      <c r="AK83" s="103" t="n"/>
      <c r="AL83" s="103" t="n"/>
      <c r="AM83" s="104" t="n"/>
      <c r="AN83" s="116">
        <f>AF83/X83*100</f>
        <v/>
      </c>
      <c r="AO83" s="103" t="n"/>
      <c r="AP83" s="103" t="n"/>
      <c r="AQ83" s="103" t="n"/>
      <c r="AR83" s="103" t="n"/>
      <c r="AS83" s="103" t="n"/>
      <c r="AT83" s="103" t="n"/>
      <c r="AU83" s="104" t="n"/>
      <c r="AV83" s="107">
        <f>IF(P83=0, ,P83/X83*1000)</f>
        <v/>
      </c>
      <c r="AW83" s="103" t="n"/>
      <c r="AX83" s="103" t="n"/>
      <c r="AY83" s="103" t="n"/>
      <c r="AZ83" s="103" t="n"/>
      <c r="BA83" s="103" t="n"/>
      <c r="BB83" s="103" t="n"/>
      <c r="BC83" s="104" t="n"/>
      <c r="BD83" s="107">
        <f>IF(P83=0, ,P83/AF83)</f>
        <v/>
      </c>
      <c r="BE83" s="103" t="n"/>
      <c r="BF83" s="103" t="n"/>
      <c r="BG83" s="103" t="n"/>
      <c r="BH83" s="103" t="n"/>
      <c r="BI83" s="103" t="n"/>
      <c r="BJ83" s="104" t="n"/>
      <c r="BT83" s="33" t="n">
        <v>0</v>
      </c>
      <c r="BU83" s="40" t="n">
        <v>0</v>
      </c>
      <c r="BV83" s="33" t="n">
        <v>0</v>
      </c>
    </row>
    <row r="84" ht="19" customHeight="1" s="100" thickBot="1">
      <c r="C84" s="2" t="n"/>
      <c r="E84" s="118">
        <f>E43</f>
        <v/>
      </c>
      <c r="F84" s="103" t="n"/>
      <c r="G84" s="103" t="n"/>
      <c r="H84" s="103" t="n"/>
      <c r="I84" s="103" t="n"/>
      <c r="J84" s="103" t="n"/>
      <c r="K84" s="104" t="n"/>
      <c r="L84" s="119">
        <f>L43</f>
        <v/>
      </c>
      <c r="M84" s="103" t="n"/>
      <c r="N84" s="103" t="n"/>
      <c r="O84" s="104" t="n"/>
      <c r="P84" s="120">
        <f>$P$79/14</f>
        <v/>
      </c>
      <c r="Q84" s="103" t="n"/>
      <c r="R84" s="103" t="n"/>
      <c r="S84" s="103" t="n"/>
      <c r="T84" s="103" t="n"/>
      <c r="U84" s="103" t="n"/>
      <c r="V84" s="103" t="n"/>
      <c r="W84" s="104" t="n"/>
      <c r="X84" s="128">
        <f>BU84</f>
        <v/>
      </c>
      <c r="Y84" s="103" t="n"/>
      <c r="Z84" s="103" t="n"/>
      <c r="AA84" s="103" t="n"/>
      <c r="AB84" s="103" t="n"/>
      <c r="AC84" s="103" t="n"/>
      <c r="AD84" s="103" t="n"/>
      <c r="AE84" s="104" t="n"/>
      <c r="AF84" s="128">
        <f>BV84</f>
        <v/>
      </c>
      <c r="AG84" s="103" t="n"/>
      <c r="AH84" s="103" t="n"/>
      <c r="AI84" s="103" t="n"/>
      <c r="AJ84" s="103" t="n"/>
      <c r="AK84" s="103" t="n"/>
      <c r="AL84" s="103" t="n"/>
      <c r="AM84" s="104" t="n"/>
      <c r="AN84" s="116">
        <f>AF84/X84*100</f>
        <v/>
      </c>
      <c r="AO84" s="103" t="n"/>
      <c r="AP84" s="103" t="n"/>
      <c r="AQ84" s="103" t="n"/>
      <c r="AR84" s="103" t="n"/>
      <c r="AS84" s="103" t="n"/>
      <c r="AT84" s="103" t="n"/>
      <c r="AU84" s="104" t="n"/>
      <c r="AV84" s="107">
        <f>IF(P84=0, ,P84/X84*1000)</f>
        <v/>
      </c>
      <c r="AW84" s="103" t="n"/>
      <c r="AX84" s="103" t="n"/>
      <c r="AY84" s="103" t="n"/>
      <c r="AZ84" s="103" t="n"/>
      <c r="BA84" s="103" t="n"/>
      <c r="BB84" s="103" t="n"/>
      <c r="BC84" s="104" t="n"/>
      <c r="BD84" s="107">
        <f>IF(P84=0, ,P84/AF84)</f>
        <v/>
      </c>
      <c r="BE84" s="103" t="n"/>
      <c r="BF84" s="103" t="n"/>
      <c r="BG84" s="103" t="n"/>
      <c r="BH84" s="103" t="n"/>
      <c r="BI84" s="103" t="n"/>
      <c r="BJ84" s="104" t="n"/>
      <c r="BT84" s="33" t="n">
        <v>0</v>
      </c>
      <c r="BU84" s="40" t="n">
        <v>0</v>
      </c>
      <c r="BV84" s="33" t="n">
        <v>0</v>
      </c>
    </row>
    <row r="85" ht="19" customHeight="1" s="100" thickBot="1">
      <c r="C85" s="2" t="n"/>
      <c r="E85" s="118">
        <f>E44</f>
        <v/>
      </c>
      <c r="F85" s="103" t="n"/>
      <c r="G85" s="103" t="n"/>
      <c r="H85" s="103" t="n"/>
      <c r="I85" s="103" t="n"/>
      <c r="J85" s="103" t="n"/>
      <c r="K85" s="104" t="n"/>
      <c r="L85" s="119">
        <f>L44</f>
        <v/>
      </c>
      <c r="M85" s="103" t="n"/>
      <c r="N85" s="103" t="n"/>
      <c r="O85" s="104" t="n"/>
      <c r="P85" s="120">
        <f>$P$79/14</f>
        <v/>
      </c>
      <c r="Q85" s="103" t="n"/>
      <c r="R85" s="103" t="n"/>
      <c r="S85" s="103" t="n"/>
      <c r="T85" s="103" t="n"/>
      <c r="U85" s="103" t="n"/>
      <c r="V85" s="103" t="n"/>
      <c r="W85" s="104" t="n"/>
      <c r="X85" s="128">
        <f>BU85</f>
        <v/>
      </c>
      <c r="Y85" s="103" t="n"/>
      <c r="Z85" s="103" t="n"/>
      <c r="AA85" s="103" t="n"/>
      <c r="AB85" s="103" t="n"/>
      <c r="AC85" s="103" t="n"/>
      <c r="AD85" s="103" t="n"/>
      <c r="AE85" s="104" t="n"/>
      <c r="AF85" s="128">
        <f>BV85</f>
        <v/>
      </c>
      <c r="AG85" s="103" t="n"/>
      <c r="AH85" s="103" t="n"/>
      <c r="AI85" s="103" t="n"/>
      <c r="AJ85" s="103" t="n"/>
      <c r="AK85" s="103" t="n"/>
      <c r="AL85" s="103" t="n"/>
      <c r="AM85" s="104" t="n"/>
      <c r="AN85" s="116">
        <f>AF85/X85*100</f>
        <v/>
      </c>
      <c r="AO85" s="103" t="n"/>
      <c r="AP85" s="103" t="n"/>
      <c r="AQ85" s="103" t="n"/>
      <c r="AR85" s="103" t="n"/>
      <c r="AS85" s="103" t="n"/>
      <c r="AT85" s="103" t="n"/>
      <c r="AU85" s="104" t="n"/>
      <c r="AV85" s="107">
        <f>IF(P85=0, ,P85/X85*1000)</f>
        <v/>
      </c>
      <c r="AW85" s="103" t="n"/>
      <c r="AX85" s="103" t="n"/>
      <c r="AY85" s="103" t="n"/>
      <c r="AZ85" s="103" t="n"/>
      <c r="BA85" s="103" t="n"/>
      <c r="BB85" s="103" t="n"/>
      <c r="BC85" s="104" t="n"/>
      <c r="BD85" s="107">
        <f>IF(P85=0, ,P85/AF85)</f>
        <v/>
      </c>
      <c r="BE85" s="103" t="n"/>
      <c r="BF85" s="103" t="n"/>
      <c r="BG85" s="103" t="n"/>
      <c r="BH85" s="103" t="n"/>
      <c r="BI85" s="103" t="n"/>
      <c r="BJ85" s="104" t="n"/>
      <c r="BT85" s="33" t="n">
        <v>0</v>
      </c>
      <c r="BU85" s="40" t="n">
        <v>0</v>
      </c>
      <c r="BV85" s="33" t="n">
        <v>0</v>
      </c>
    </row>
    <row r="86" ht="19" customHeight="1" s="100" thickBot="1">
      <c r="C86" s="2" t="n"/>
      <c r="E86" s="118">
        <f>E45</f>
        <v/>
      </c>
      <c r="F86" s="103" t="n"/>
      <c r="G86" s="103" t="n"/>
      <c r="H86" s="103" t="n"/>
      <c r="I86" s="103" t="n"/>
      <c r="J86" s="103" t="n"/>
      <c r="K86" s="104" t="n"/>
      <c r="L86" s="119">
        <f>L45</f>
        <v/>
      </c>
      <c r="M86" s="103" t="n"/>
      <c r="N86" s="103" t="n"/>
      <c r="O86" s="104" t="n"/>
      <c r="P86" s="120">
        <f>$P$79/14</f>
        <v/>
      </c>
      <c r="Q86" s="103" t="n"/>
      <c r="R86" s="103" t="n"/>
      <c r="S86" s="103" t="n"/>
      <c r="T86" s="103" t="n"/>
      <c r="U86" s="103" t="n"/>
      <c r="V86" s="103" t="n"/>
      <c r="W86" s="104" t="n"/>
      <c r="X86" s="107">
        <f>BU86</f>
        <v/>
      </c>
      <c r="Y86" s="103" t="n"/>
      <c r="Z86" s="103" t="n"/>
      <c r="AA86" s="103" t="n"/>
      <c r="AB86" s="103" t="n"/>
      <c r="AC86" s="103" t="n"/>
      <c r="AD86" s="103" t="n"/>
      <c r="AE86" s="104" t="n"/>
      <c r="AF86" s="107">
        <f>BV86</f>
        <v/>
      </c>
      <c r="AG86" s="103" t="n"/>
      <c r="AH86" s="103" t="n"/>
      <c r="AI86" s="103" t="n"/>
      <c r="AJ86" s="103" t="n"/>
      <c r="AK86" s="103" t="n"/>
      <c r="AL86" s="103" t="n"/>
      <c r="AM86" s="104" t="n"/>
      <c r="AN86" s="116">
        <f>AF86/X86*100</f>
        <v/>
      </c>
      <c r="AO86" s="103" t="n"/>
      <c r="AP86" s="103" t="n"/>
      <c r="AQ86" s="103" t="n"/>
      <c r="AR86" s="103" t="n"/>
      <c r="AS86" s="103" t="n"/>
      <c r="AT86" s="103" t="n"/>
      <c r="AU86" s="104" t="n"/>
      <c r="AV86" s="107">
        <f>IF(P86=0, ,P86/X86*1000)</f>
        <v/>
      </c>
      <c r="AW86" s="103" t="n"/>
      <c r="AX86" s="103" t="n"/>
      <c r="AY86" s="103" t="n"/>
      <c r="AZ86" s="103" t="n"/>
      <c r="BA86" s="103" t="n"/>
      <c r="BB86" s="103" t="n"/>
      <c r="BC86" s="104" t="n"/>
      <c r="BD86" s="107">
        <f>IF(P86=0, ,P86/AF86)</f>
        <v/>
      </c>
      <c r="BE86" s="103" t="n"/>
      <c r="BF86" s="103" t="n"/>
      <c r="BG86" s="103" t="n"/>
      <c r="BH86" s="103" t="n"/>
      <c r="BI86" s="103" t="n"/>
      <c r="BJ86" s="104" t="n"/>
      <c r="BT86" s="33" t="n">
        <v>0</v>
      </c>
      <c r="BU86" s="40" t="n">
        <v>0</v>
      </c>
      <c r="BV86" s="29" t="n">
        <v>0</v>
      </c>
    </row>
    <row r="87" ht="19" customHeight="1" s="100" thickBot="1">
      <c r="C87" s="2" t="n"/>
      <c r="E87" s="118">
        <f>E46</f>
        <v/>
      </c>
      <c r="F87" s="103" t="n"/>
      <c r="G87" s="103" t="n"/>
      <c r="H87" s="103" t="n"/>
      <c r="I87" s="103" t="n"/>
      <c r="J87" s="103" t="n"/>
      <c r="K87" s="104" t="n"/>
      <c r="L87" s="119">
        <f>L46</f>
        <v/>
      </c>
      <c r="M87" s="103" t="n"/>
      <c r="N87" s="103" t="n"/>
      <c r="O87" s="104" t="n"/>
      <c r="P87" s="120">
        <f>$P$79/14</f>
        <v/>
      </c>
      <c r="Q87" s="103" t="n"/>
      <c r="R87" s="103" t="n"/>
      <c r="S87" s="103" t="n"/>
      <c r="T87" s="103" t="n"/>
      <c r="U87" s="103" t="n"/>
      <c r="V87" s="103" t="n"/>
      <c r="W87" s="104" t="n"/>
      <c r="X87" s="107">
        <f>BU87</f>
        <v/>
      </c>
      <c r="Y87" s="103" t="n"/>
      <c r="Z87" s="103" t="n"/>
      <c r="AA87" s="103" t="n"/>
      <c r="AB87" s="103" t="n"/>
      <c r="AC87" s="103" t="n"/>
      <c r="AD87" s="103" t="n"/>
      <c r="AE87" s="104" t="n"/>
      <c r="AF87" s="107">
        <f>BV87</f>
        <v/>
      </c>
      <c r="AG87" s="103" t="n"/>
      <c r="AH87" s="103" t="n"/>
      <c r="AI87" s="103" t="n"/>
      <c r="AJ87" s="103" t="n"/>
      <c r="AK87" s="103" t="n"/>
      <c r="AL87" s="103" t="n"/>
      <c r="AM87" s="104" t="n"/>
      <c r="AN87" s="116">
        <f>AF87/X87*100</f>
        <v/>
      </c>
      <c r="AO87" s="103" t="n"/>
      <c r="AP87" s="103" t="n"/>
      <c r="AQ87" s="103" t="n"/>
      <c r="AR87" s="103" t="n"/>
      <c r="AS87" s="103" t="n"/>
      <c r="AT87" s="103" t="n"/>
      <c r="AU87" s="104" t="n"/>
      <c r="AV87" s="107">
        <f>IF(P87=0, ,P87/X87*1000)</f>
        <v/>
      </c>
      <c r="AW87" s="103" t="n"/>
      <c r="AX87" s="103" t="n"/>
      <c r="AY87" s="103" t="n"/>
      <c r="AZ87" s="103" t="n"/>
      <c r="BA87" s="103" t="n"/>
      <c r="BB87" s="103" t="n"/>
      <c r="BC87" s="104" t="n"/>
      <c r="BD87" s="107">
        <f>IF(P87=0, ,P87/AF87)</f>
        <v/>
      </c>
      <c r="BE87" s="103" t="n"/>
      <c r="BF87" s="103" t="n"/>
      <c r="BG87" s="103" t="n"/>
      <c r="BH87" s="103" t="n"/>
      <c r="BI87" s="103" t="n"/>
      <c r="BJ87" s="104" t="n"/>
      <c r="BT87" s="33" t="n">
        <v>0</v>
      </c>
      <c r="BU87" s="23" t="n">
        <v>0</v>
      </c>
      <c r="BV87" s="21" t="n">
        <v>0</v>
      </c>
    </row>
    <row r="88" ht="19" customHeight="1" s="100" thickBot="1">
      <c r="C88" s="2" t="n"/>
      <c r="E88" s="118">
        <f>E47</f>
        <v/>
      </c>
      <c r="F88" s="103" t="n"/>
      <c r="G88" s="103" t="n"/>
      <c r="H88" s="103" t="n"/>
      <c r="I88" s="103" t="n"/>
      <c r="J88" s="103" t="n"/>
      <c r="K88" s="104" t="n"/>
      <c r="L88" s="119">
        <f>L47</f>
        <v/>
      </c>
      <c r="M88" s="103" t="n"/>
      <c r="N88" s="103" t="n"/>
      <c r="O88" s="104" t="n"/>
      <c r="P88" s="120">
        <f>$P$79/14</f>
        <v/>
      </c>
      <c r="Q88" s="103" t="n"/>
      <c r="R88" s="103" t="n"/>
      <c r="S88" s="103" t="n"/>
      <c r="T88" s="103" t="n"/>
      <c r="U88" s="103" t="n"/>
      <c r="V88" s="103" t="n"/>
      <c r="W88" s="104" t="n"/>
      <c r="X88" s="107">
        <f>BU88</f>
        <v/>
      </c>
      <c r="Y88" s="103" t="n"/>
      <c r="Z88" s="103" t="n"/>
      <c r="AA88" s="103" t="n"/>
      <c r="AB88" s="103" t="n"/>
      <c r="AC88" s="103" t="n"/>
      <c r="AD88" s="103" t="n"/>
      <c r="AE88" s="104" t="n"/>
      <c r="AF88" s="107">
        <f>BV88</f>
        <v/>
      </c>
      <c r="AG88" s="103" t="n"/>
      <c r="AH88" s="103" t="n"/>
      <c r="AI88" s="103" t="n"/>
      <c r="AJ88" s="103" t="n"/>
      <c r="AK88" s="103" t="n"/>
      <c r="AL88" s="103" t="n"/>
      <c r="AM88" s="104" t="n"/>
      <c r="AN88" s="116">
        <f>AF88/X88*100</f>
        <v/>
      </c>
      <c r="AO88" s="103" t="n"/>
      <c r="AP88" s="103" t="n"/>
      <c r="AQ88" s="103" t="n"/>
      <c r="AR88" s="103" t="n"/>
      <c r="AS88" s="103" t="n"/>
      <c r="AT88" s="103" t="n"/>
      <c r="AU88" s="104" t="n"/>
      <c r="AV88" s="107">
        <f>IF(P88=0, ,P88/X88*1000)</f>
        <v/>
      </c>
      <c r="AW88" s="103" t="n"/>
      <c r="AX88" s="103" t="n"/>
      <c r="AY88" s="103" t="n"/>
      <c r="AZ88" s="103" t="n"/>
      <c r="BA88" s="103" t="n"/>
      <c r="BB88" s="103" t="n"/>
      <c r="BC88" s="104" t="n"/>
      <c r="BD88" s="107">
        <f>IF(P88=0, ,P88/AF88)</f>
        <v/>
      </c>
      <c r="BE88" s="103" t="n"/>
      <c r="BF88" s="103" t="n"/>
      <c r="BG88" s="103" t="n"/>
      <c r="BH88" s="103" t="n"/>
      <c r="BI88" s="103" t="n"/>
      <c r="BJ88" s="104" t="n"/>
      <c r="BT88" s="33" t="n">
        <v>0</v>
      </c>
      <c r="BU88" s="28" t="n">
        <v>0</v>
      </c>
      <c r="BV88" s="23" t="n">
        <v>0</v>
      </c>
    </row>
    <row r="89" ht="19" customHeight="1" s="100" thickBot="1">
      <c r="C89" s="2" t="n"/>
      <c r="E89" s="118">
        <f>E48</f>
        <v/>
      </c>
      <c r="F89" s="103" t="n"/>
      <c r="G89" s="103" t="n"/>
      <c r="H89" s="103" t="n"/>
      <c r="I89" s="103" t="n"/>
      <c r="J89" s="103" t="n"/>
      <c r="K89" s="104" t="n"/>
      <c r="L89" s="119">
        <f>L48</f>
        <v/>
      </c>
      <c r="M89" s="103" t="n"/>
      <c r="N89" s="103" t="n"/>
      <c r="O89" s="104" t="n"/>
      <c r="P89" s="120">
        <f>$P$79/14</f>
        <v/>
      </c>
      <c r="Q89" s="103" t="n"/>
      <c r="R89" s="103" t="n"/>
      <c r="S89" s="103" t="n"/>
      <c r="T89" s="103" t="n"/>
      <c r="U89" s="103" t="n"/>
      <c r="V89" s="103" t="n"/>
      <c r="W89" s="104" t="n"/>
      <c r="X89" s="107">
        <f>BU89</f>
        <v/>
      </c>
      <c r="Y89" s="103" t="n"/>
      <c r="Z89" s="103" t="n"/>
      <c r="AA89" s="103" t="n"/>
      <c r="AB89" s="103" t="n"/>
      <c r="AC89" s="103" t="n"/>
      <c r="AD89" s="103" t="n"/>
      <c r="AE89" s="104" t="n"/>
      <c r="AF89" s="107">
        <f>BV89</f>
        <v/>
      </c>
      <c r="AG89" s="103" t="n"/>
      <c r="AH89" s="103" t="n"/>
      <c r="AI89" s="103" t="n"/>
      <c r="AJ89" s="103" t="n"/>
      <c r="AK89" s="103" t="n"/>
      <c r="AL89" s="103" t="n"/>
      <c r="AM89" s="104" t="n"/>
      <c r="AN89" s="116">
        <f>AF89/X89*100</f>
        <v/>
      </c>
      <c r="AO89" s="103" t="n"/>
      <c r="AP89" s="103" t="n"/>
      <c r="AQ89" s="103" t="n"/>
      <c r="AR89" s="103" t="n"/>
      <c r="AS89" s="103" t="n"/>
      <c r="AT89" s="103" t="n"/>
      <c r="AU89" s="104" t="n"/>
      <c r="AV89" s="107">
        <f>IF(P89=0, ,P89/X89*1000)</f>
        <v/>
      </c>
      <c r="AW89" s="103" t="n"/>
      <c r="AX89" s="103" t="n"/>
      <c r="AY89" s="103" t="n"/>
      <c r="AZ89" s="103" t="n"/>
      <c r="BA89" s="103" t="n"/>
      <c r="BB89" s="103" t="n"/>
      <c r="BC89" s="104" t="n"/>
      <c r="BD89" s="107">
        <f>IF(P89=0, ,P89/AF89)</f>
        <v/>
      </c>
      <c r="BE89" s="103" t="n"/>
      <c r="BF89" s="103" t="n"/>
      <c r="BG89" s="103" t="n"/>
      <c r="BH89" s="103" t="n"/>
      <c r="BI89" s="103" t="n"/>
      <c r="BJ89" s="104" t="n"/>
      <c r="BT89" s="33" t="n">
        <v>0</v>
      </c>
      <c r="BU89" s="23" t="n">
        <v>0</v>
      </c>
      <c r="BV89" s="23" t="n">
        <v>0</v>
      </c>
    </row>
    <row r="90" ht="19" customHeight="1" s="100" thickBot="1">
      <c r="C90" s="2" t="n"/>
      <c r="E90" s="118">
        <f>E49</f>
        <v/>
      </c>
      <c r="F90" s="103" t="n"/>
      <c r="G90" s="103" t="n"/>
      <c r="H90" s="103" t="n"/>
      <c r="I90" s="103" t="n"/>
      <c r="J90" s="103" t="n"/>
      <c r="K90" s="104" t="n"/>
      <c r="L90" s="119">
        <f>L49</f>
        <v/>
      </c>
      <c r="M90" s="103" t="n"/>
      <c r="N90" s="103" t="n"/>
      <c r="O90" s="104" t="n"/>
      <c r="P90" s="120">
        <f>$P$79/14</f>
        <v/>
      </c>
      <c r="Q90" s="103" t="n"/>
      <c r="R90" s="103" t="n"/>
      <c r="S90" s="103" t="n"/>
      <c r="T90" s="103" t="n"/>
      <c r="U90" s="103" t="n"/>
      <c r="V90" s="103" t="n"/>
      <c r="W90" s="104" t="n"/>
      <c r="X90" s="107">
        <f>BU90</f>
        <v/>
      </c>
      <c r="Y90" s="103" t="n"/>
      <c r="Z90" s="103" t="n"/>
      <c r="AA90" s="103" t="n"/>
      <c r="AB90" s="103" t="n"/>
      <c r="AC90" s="103" t="n"/>
      <c r="AD90" s="103" t="n"/>
      <c r="AE90" s="104" t="n"/>
      <c r="AF90" s="107">
        <f>BV90</f>
        <v/>
      </c>
      <c r="AG90" s="103" t="n"/>
      <c r="AH90" s="103" t="n"/>
      <c r="AI90" s="103" t="n"/>
      <c r="AJ90" s="103" t="n"/>
      <c r="AK90" s="103" t="n"/>
      <c r="AL90" s="103" t="n"/>
      <c r="AM90" s="104" t="n"/>
      <c r="AN90" s="116">
        <f>AF90/X90*100</f>
        <v/>
      </c>
      <c r="AO90" s="103" t="n"/>
      <c r="AP90" s="103" t="n"/>
      <c r="AQ90" s="103" t="n"/>
      <c r="AR90" s="103" t="n"/>
      <c r="AS90" s="103" t="n"/>
      <c r="AT90" s="103" t="n"/>
      <c r="AU90" s="104" t="n"/>
      <c r="AV90" s="107">
        <f>IF(P90=0, ,P90/X90*1000)</f>
        <v/>
      </c>
      <c r="AW90" s="103" t="n"/>
      <c r="AX90" s="103" t="n"/>
      <c r="AY90" s="103" t="n"/>
      <c r="AZ90" s="103" t="n"/>
      <c r="BA90" s="103" t="n"/>
      <c r="BB90" s="103" t="n"/>
      <c r="BC90" s="104" t="n"/>
      <c r="BD90" s="107">
        <f>IF(P90=0, ,P90/AF90)</f>
        <v/>
      </c>
      <c r="BE90" s="103" t="n"/>
      <c r="BF90" s="103" t="n"/>
      <c r="BG90" s="103" t="n"/>
      <c r="BH90" s="103" t="n"/>
      <c r="BI90" s="103" t="n"/>
      <c r="BJ90" s="104" t="n"/>
      <c r="BT90" s="33" t="n">
        <v>0</v>
      </c>
      <c r="BU90" s="35" t="n">
        <v>0</v>
      </c>
      <c r="BV90" s="35" t="n">
        <v>0</v>
      </c>
    </row>
    <row r="91" ht="19" customHeight="1" s="100" thickBot="1">
      <c r="C91" s="2" t="n"/>
      <c r="E91" s="118">
        <f>E50</f>
        <v/>
      </c>
      <c r="F91" s="103" t="n"/>
      <c r="G91" s="103" t="n"/>
      <c r="H91" s="103" t="n"/>
      <c r="I91" s="103" t="n"/>
      <c r="J91" s="103" t="n"/>
      <c r="K91" s="104" t="n"/>
      <c r="L91" s="119">
        <f>L50</f>
        <v/>
      </c>
      <c r="M91" s="103" t="n"/>
      <c r="N91" s="103" t="n"/>
      <c r="O91" s="104" t="n"/>
      <c r="P91" s="120">
        <f>$P$79/14</f>
        <v/>
      </c>
      <c r="Q91" s="103" t="n"/>
      <c r="R91" s="103" t="n"/>
      <c r="S91" s="103" t="n"/>
      <c r="T91" s="103" t="n"/>
      <c r="U91" s="103" t="n"/>
      <c r="V91" s="103" t="n"/>
      <c r="W91" s="104" t="n"/>
      <c r="X91" s="107">
        <f>BU91</f>
        <v/>
      </c>
      <c r="Y91" s="103" t="n"/>
      <c r="Z91" s="103" t="n"/>
      <c r="AA91" s="103" t="n"/>
      <c r="AB91" s="103" t="n"/>
      <c r="AC91" s="103" t="n"/>
      <c r="AD91" s="103" t="n"/>
      <c r="AE91" s="104" t="n"/>
      <c r="AF91" s="107">
        <f>BV91</f>
        <v/>
      </c>
      <c r="AG91" s="103" t="n"/>
      <c r="AH91" s="103" t="n"/>
      <c r="AI91" s="103" t="n"/>
      <c r="AJ91" s="103" t="n"/>
      <c r="AK91" s="103" t="n"/>
      <c r="AL91" s="103" t="n"/>
      <c r="AM91" s="104" t="n"/>
      <c r="AN91" s="116">
        <f>AF91/X91*100</f>
        <v/>
      </c>
      <c r="AO91" s="103" t="n"/>
      <c r="AP91" s="103" t="n"/>
      <c r="AQ91" s="103" t="n"/>
      <c r="AR91" s="103" t="n"/>
      <c r="AS91" s="103" t="n"/>
      <c r="AT91" s="103" t="n"/>
      <c r="AU91" s="104" t="n"/>
      <c r="AV91" s="107">
        <f>IF(P91=0, ,P91/X91*1000)</f>
        <v/>
      </c>
      <c r="AW91" s="103" t="n"/>
      <c r="AX91" s="103" t="n"/>
      <c r="AY91" s="103" t="n"/>
      <c r="AZ91" s="103" t="n"/>
      <c r="BA91" s="103" t="n"/>
      <c r="BB91" s="103" t="n"/>
      <c r="BC91" s="104" t="n"/>
      <c r="BD91" s="107">
        <f>IF(P91=0, ,P91/AF91)</f>
        <v/>
      </c>
      <c r="BE91" s="103" t="n"/>
      <c r="BF91" s="103" t="n"/>
      <c r="BG91" s="103" t="n"/>
      <c r="BH91" s="103" t="n"/>
      <c r="BI91" s="103" t="n"/>
      <c r="BJ91" s="104" t="n"/>
      <c r="BT91" s="33" t="n">
        <v>0</v>
      </c>
      <c r="BU91" s="28" t="n">
        <v>0</v>
      </c>
      <c r="BV91" s="28" t="n">
        <v>0</v>
      </c>
    </row>
    <row r="92" ht="19" customHeight="1" s="100" thickBot="1">
      <c r="C92" s="2" t="n"/>
      <c r="E92" s="118">
        <f>E51</f>
        <v/>
      </c>
      <c r="F92" s="103" t="n"/>
      <c r="G92" s="103" t="n"/>
      <c r="H92" s="103" t="n"/>
      <c r="I92" s="103" t="n"/>
      <c r="J92" s="103" t="n"/>
      <c r="K92" s="104" t="n"/>
      <c r="L92" s="119">
        <f>L51</f>
        <v/>
      </c>
      <c r="M92" s="103" t="n"/>
      <c r="N92" s="103" t="n"/>
      <c r="O92" s="104" t="n"/>
      <c r="P92" s="120">
        <f>$P$79/14</f>
        <v/>
      </c>
      <c r="Q92" s="103" t="n"/>
      <c r="R92" s="103" t="n"/>
      <c r="S92" s="103" t="n"/>
      <c r="T92" s="103" t="n"/>
      <c r="U92" s="103" t="n"/>
      <c r="V92" s="103" t="n"/>
      <c r="W92" s="104" t="n"/>
      <c r="X92" s="107">
        <f>BU92</f>
        <v/>
      </c>
      <c r="Y92" s="103" t="n"/>
      <c r="Z92" s="103" t="n"/>
      <c r="AA92" s="103" t="n"/>
      <c r="AB92" s="103" t="n"/>
      <c r="AC92" s="103" t="n"/>
      <c r="AD92" s="103" t="n"/>
      <c r="AE92" s="104" t="n"/>
      <c r="AF92" s="107">
        <f>BV92</f>
        <v/>
      </c>
      <c r="AG92" s="103" t="n"/>
      <c r="AH92" s="103" t="n"/>
      <c r="AI92" s="103" t="n"/>
      <c r="AJ92" s="103" t="n"/>
      <c r="AK92" s="103" t="n"/>
      <c r="AL92" s="103" t="n"/>
      <c r="AM92" s="104" t="n"/>
      <c r="AN92" s="116">
        <f>AF92/X92*100</f>
        <v/>
      </c>
      <c r="AO92" s="103" t="n"/>
      <c r="AP92" s="103" t="n"/>
      <c r="AQ92" s="103" t="n"/>
      <c r="AR92" s="103" t="n"/>
      <c r="AS92" s="103" t="n"/>
      <c r="AT92" s="103" t="n"/>
      <c r="AU92" s="104" t="n"/>
      <c r="AV92" s="107">
        <f>IF(P92=0, ,P92/X92*1000)</f>
        <v/>
      </c>
      <c r="AW92" s="103" t="n"/>
      <c r="AX92" s="103" t="n"/>
      <c r="AY92" s="103" t="n"/>
      <c r="AZ92" s="103" t="n"/>
      <c r="BA92" s="103" t="n"/>
      <c r="BB92" s="103" t="n"/>
      <c r="BC92" s="104" t="n"/>
      <c r="BD92" s="107">
        <f>IF(P92=0, ,P92/AF92)</f>
        <v/>
      </c>
      <c r="BE92" s="103" t="n"/>
      <c r="BF92" s="103" t="n"/>
      <c r="BG92" s="103" t="n"/>
      <c r="BH92" s="103" t="n"/>
      <c r="BI92" s="103" t="n"/>
      <c r="BJ92" s="104" t="n"/>
      <c r="BT92" s="33" t="n">
        <v>0</v>
      </c>
      <c r="BU92" s="35" t="n">
        <v>0</v>
      </c>
      <c r="BV92" s="35" t="n">
        <v>0</v>
      </c>
    </row>
    <row r="93" ht="19" customHeight="1" s="100" thickBot="1">
      <c r="C93" s="2" t="n"/>
      <c r="E93" s="118">
        <f>E52</f>
        <v/>
      </c>
      <c r="F93" s="103" t="n"/>
      <c r="G93" s="103" t="n"/>
      <c r="H93" s="103" t="n"/>
      <c r="I93" s="103" t="n"/>
      <c r="J93" s="103" t="n"/>
      <c r="K93" s="104" t="n"/>
      <c r="L93" s="119">
        <f>L52</f>
        <v/>
      </c>
      <c r="M93" s="103" t="n"/>
      <c r="N93" s="103" t="n"/>
      <c r="O93" s="104" t="n"/>
      <c r="P93" s="120">
        <f>$P$79/14</f>
        <v/>
      </c>
      <c r="Q93" s="103" t="n"/>
      <c r="R93" s="103" t="n"/>
      <c r="S93" s="103" t="n"/>
      <c r="T93" s="103" t="n"/>
      <c r="U93" s="103" t="n"/>
      <c r="V93" s="103" t="n"/>
      <c r="W93" s="104" t="n"/>
      <c r="X93" s="107">
        <f>BU93</f>
        <v/>
      </c>
      <c r="Y93" s="103" t="n"/>
      <c r="Z93" s="103" t="n"/>
      <c r="AA93" s="103" t="n"/>
      <c r="AB93" s="103" t="n"/>
      <c r="AC93" s="103" t="n"/>
      <c r="AD93" s="103" t="n"/>
      <c r="AE93" s="104" t="n"/>
      <c r="AF93" s="107">
        <f>BV93</f>
        <v/>
      </c>
      <c r="AG93" s="103" t="n"/>
      <c r="AH93" s="103" t="n"/>
      <c r="AI93" s="103" t="n"/>
      <c r="AJ93" s="103" t="n"/>
      <c r="AK93" s="103" t="n"/>
      <c r="AL93" s="103" t="n"/>
      <c r="AM93" s="104" t="n"/>
      <c r="AN93" s="116">
        <f>AF93/X93*100</f>
        <v/>
      </c>
      <c r="AO93" s="103" t="n"/>
      <c r="AP93" s="103" t="n"/>
      <c r="AQ93" s="103" t="n"/>
      <c r="AR93" s="103" t="n"/>
      <c r="AS93" s="103" t="n"/>
      <c r="AT93" s="103" t="n"/>
      <c r="AU93" s="104" t="n"/>
      <c r="AV93" s="107">
        <f>IF(P93=0, ,P93/X93*1000)</f>
        <v/>
      </c>
      <c r="AW93" s="103" t="n"/>
      <c r="AX93" s="103" t="n"/>
      <c r="AY93" s="103" t="n"/>
      <c r="AZ93" s="103" t="n"/>
      <c r="BA93" s="103" t="n"/>
      <c r="BB93" s="103" t="n"/>
      <c r="BC93" s="104" t="n"/>
      <c r="BD93" s="107">
        <f>IF(P93=0, ,P93/AF93)</f>
        <v/>
      </c>
      <c r="BE93" s="103" t="n"/>
      <c r="BF93" s="103" t="n"/>
      <c r="BG93" s="103" t="n"/>
      <c r="BH93" s="103" t="n"/>
      <c r="BI93" s="103" t="n"/>
      <c r="BJ93" s="104" t="n"/>
      <c r="BT93" s="33" t="n">
        <v>0</v>
      </c>
      <c r="BU93" s="28" t="n">
        <v>0</v>
      </c>
      <c r="BV93" s="28" t="n">
        <v>0</v>
      </c>
      <c r="BW93" s="39" t="n"/>
    </row>
    <row r="94" ht="15" customHeight="1" s="100">
      <c r="C94" s="2" t="n"/>
    </row>
    <row r="95" ht="22" customHeight="1" s="100">
      <c r="C95" s="2" t="n"/>
      <c r="E95" s="3" t="inlineStr">
        <is>
          <t>③ 앱 메인 배너</t>
        </is>
      </c>
      <c r="BJ95" s="32" t="inlineStr">
        <is>
          <t>(단위 : 원, 건, %)</t>
        </is>
      </c>
    </row>
    <row r="96" ht="10" customHeight="1" s="100">
      <c r="C96" s="2" t="n"/>
    </row>
    <row r="97" ht="22" customHeight="1" s="100">
      <c r="C97" s="2" t="n"/>
      <c r="E97" s="64" t="inlineStr">
        <is>
          <t>구 분</t>
        </is>
      </c>
      <c r="F97" s="103" t="n"/>
      <c r="G97" s="103" t="n"/>
      <c r="H97" s="103" t="n"/>
      <c r="I97" s="103" t="n"/>
      <c r="J97" s="103" t="n"/>
      <c r="K97" s="103" t="n"/>
      <c r="L97" s="103" t="n"/>
      <c r="M97" s="103" t="n"/>
      <c r="N97" s="103" t="n"/>
      <c r="O97" s="104" t="n"/>
      <c r="P97" s="64" t="inlineStr">
        <is>
          <t>집행 금액</t>
        </is>
      </c>
      <c r="Q97" s="103" t="n"/>
      <c r="R97" s="103" t="n"/>
      <c r="S97" s="103" t="n"/>
      <c r="T97" s="103" t="n"/>
      <c r="U97" s="103" t="n"/>
      <c r="V97" s="103" t="n"/>
      <c r="W97" s="104" t="n"/>
      <c r="X97" s="64" t="inlineStr">
        <is>
          <t>Imps</t>
        </is>
      </c>
      <c r="Y97" s="103" t="n"/>
      <c r="Z97" s="103" t="n"/>
      <c r="AA97" s="103" t="n"/>
      <c r="AB97" s="103" t="n"/>
      <c r="AC97" s="103" t="n"/>
      <c r="AD97" s="103" t="n"/>
      <c r="AE97" s="104" t="n"/>
      <c r="AF97" s="64" t="inlineStr">
        <is>
          <t>Click</t>
        </is>
      </c>
      <c r="AG97" s="103" t="n"/>
      <c r="AH97" s="103" t="n"/>
      <c r="AI97" s="103" t="n"/>
      <c r="AJ97" s="103" t="n"/>
      <c r="AK97" s="103" t="n"/>
      <c r="AL97" s="103" t="n"/>
      <c r="AM97" s="104" t="n"/>
      <c r="AN97" s="64" t="inlineStr">
        <is>
          <t>CTR</t>
        </is>
      </c>
      <c r="AO97" s="103" t="n"/>
      <c r="AP97" s="103" t="n"/>
      <c r="AQ97" s="103" t="n"/>
      <c r="AR97" s="103" t="n"/>
      <c r="AS97" s="103" t="n"/>
      <c r="AT97" s="103" t="n"/>
      <c r="AU97" s="104" t="n"/>
      <c r="AV97" s="64" t="inlineStr">
        <is>
          <t>CPM</t>
        </is>
      </c>
      <c r="AW97" s="103" t="n"/>
      <c r="AX97" s="103" t="n"/>
      <c r="AY97" s="103" t="n"/>
      <c r="AZ97" s="103" t="n"/>
      <c r="BA97" s="103" t="n"/>
      <c r="BB97" s="103" t="n"/>
      <c r="BC97" s="104" t="n"/>
      <c r="BD97" s="64" t="inlineStr">
        <is>
          <t>CPC</t>
        </is>
      </c>
      <c r="BE97" s="103" t="n"/>
      <c r="BF97" s="103" t="n"/>
      <c r="BG97" s="103" t="n"/>
      <c r="BH97" s="103" t="n"/>
      <c r="BI97" s="103" t="n"/>
      <c r="BJ97" s="104" t="n"/>
    </row>
    <row r="98" ht="22" customHeight="1" s="100" thickBot="1">
      <c r="C98" s="2" t="n"/>
      <c r="E98" s="60" t="inlineStr">
        <is>
          <t>Total</t>
        </is>
      </c>
      <c r="F98" s="103" t="n"/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4" t="n"/>
      <c r="P98" s="110">
        <f>P31</f>
        <v/>
      </c>
      <c r="Q98" s="103" t="n"/>
      <c r="R98" s="103" t="n"/>
      <c r="S98" s="103" t="n"/>
      <c r="T98" s="103" t="n"/>
      <c r="U98" s="103" t="n"/>
      <c r="V98" s="103" t="n"/>
      <c r="W98" s="104" t="n"/>
      <c r="X98" s="110">
        <f>SUM(X99:AE112)</f>
        <v/>
      </c>
      <c r="Y98" s="103" t="n"/>
      <c r="Z98" s="103" t="n"/>
      <c r="AA98" s="103" t="n"/>
      <c r="AB98" s="103" t="n"/>
      <c r="AC98" s="103" t="n"/>
      <c r="AD98" s="103" t="n"/>
      <c r="AE98" s="104" t="n"/>
      <c r="AF98" s="110">
        <f>SUM(AF99:AM112)</f>
        <v/>
      </c>
      <c r="AG98" s="103" t="n"/>
      <c r="AH98" s="103" t="n"/>
      <c r="AI98" s="103" t="n"/>
      <c r="AJ98" s="103" t="n"/>
      <c r="AK98" s="103" t="n"/>
      <c r="AL98" s="103" t="n"/>
      <c r="AM98" s="104" t="n"/>
      <c r="AN98" s="111">
        <f>AF98/X98*100</f>
        <v/>
      </c>
      <c r="AO98" s="103" t="n"/>
      <c r="AP98" s="103" t="n"/>
      <c r="AQ98" s="103" t="n"/>
      <c r="AR98" s="103" t="n"/>
      <c r="AS98" s="103" t="n"/>
      <c r="AT98" s="103" t="n"/>
      <c r="AU98" s="104" t="n"/>
      <c r="AV98" s="110">
        <f>IF(P98=0, ,P98/X98*1000)</f>
        <v/>
      </c>
      <c r="AW98" s="103" t="n"/>
      <c r="AX98" s="103" t="n"/>
      <c r="AY98" s="103" t="n"/>
      <c r="AZ98" s="103" t="n"/>
      <c r="BA98" s="103" t="n"/>
      <c r="BB98" s="103" t="n"/>
      <c r="BC98" s="104" t="n"/>
      <c r="BD98" s="110">
        <f>IF(P98=0, ,P98/AF98)</f>
        <v/>
      </c>
      <c r="BE98" s="103" t="n"/>
      <c r="BF98" s="103" t="n"/>
      <c r="BG98" s="103" t="n"/>
      <c r="BH98" s="103" t="n"/>
      <c r="BI98" s="103" t="n"/>
      <c r="BJ98" s="104" t="n"/>
    </row>
    <row r="99" ht="19" customHeight="1" s="100" thickBot="1">
      <c r="C99" s="2" t="n"/>
      <c r="E99" s="118">
        <f>E39</f>
        <v/>
      </c>
      <c r="F99" s="103" t="n"/>
      <c r="G99" s="103" t="n"/>
      <c r="H99" s="103" t="n"/>
      <c r="I99" s="103" t="n"/>
      <c r="J99" s="103" t="n"/>
      <c r="K99" s="104" t="n"/>
      <c r="L99" s="119">
        <f>L39</f>
        <v/>
      </c>
      <c r="M99" s="103" t="n"/>
      <c r="N99" s="103" t="n"/>
      <c r="O99" s="104" t="n"/>
      <c r="P99" s="120">
        <f>$P$98/14</f>
        <v/>
      </c>
      <c r="Q99" s="103" t="n"/>
      <c r="R99" s="103" t="n"/>
      <c r="S99" s="103" t="n"/>
      <c r="T99" s="103" t="n"/>
      <c r="U99" s="103" t="n"/>
      <c r="V99" s="103" t="n"/>
      <c r="W99" s="104" t="n"/>
      <c r="X99" s="107">
        <f>BU99</f>
        <v/>
      </c>
      <c r="Y99" s="103" t="n"/>
      <c r="Z99" s="103" t="n"/>
      <c r="AA99" s="103" t="n"/>
      <c r="AB99" s="103" t="n"/>
      <c r="AC99" s="103" t="n"/>
      <c r="AD99" s="103" t="n"/>
      <c r="AE99" s="104" t="n"/>
      <c r="AF99" s="107">
        <f>BV99</f>
        <v/>
      </c>
      <c r="AG99" s="103" t="n"/>
      <c r="AH99" s="103" t="n"/>
      <c r="AI99" s="103" t="n"/>
      <c r="AJ99" s="103" t="n"/>
      <c r="AK99" s="103" t="n"/>
      <c r="AL99" s="103" t="n"/>
      <c r="AM99" s="104" t="n"/>
      <c r="AN99" s="116">
        <f>AF99/X99*100</f>
        <v/>
      </c>
      <c r="AO99" s="103" t="n"/>
      <c r="AP99" s="103" t="n"/>
      <c r="AQ99" s="103" t="n"/>
      <c r="AR99" s="103" t="n"/>
      <c r="AS99" s="103" t="n"/>
      <c r="AT99" s="103" t="n"/>
      <c r="AU99" s="104" t="n"/>
      <c r="AV99" s="107">
        <f>IF(P99=0, ,P99/X99*1000)</f>
        <v/>
      </c>
      <c r="AW99" s="103" t="n"/>
      <c r="AX99" s="103" t="n"/>
      <c r="AY99" s="103" t="n"/>
      <c r="AZ99" s="103" t="n"/>
      <c r="BA99" s="103" t="n"/>
      <c r="BB99" s="103" t="n"/>
      <c r="BC99" s="104" t="n"/>
      <c r="BD99" s="107">
        <f>IF(P99=0, ,P99/AF99)</f>
        <v/>
      </c>
      <c r="BE99" s="103" t="n"/>
      <c r="BF99" s="103" t="n"/>
      <c r="BG99" s="103" t="n"/>
      <c r="BH99" s="103" t="n"/>
      <c r="BI99" s="103" t="n"/>
      <c r="BJ99" s="104" t="n"/>
      <c r="BT99" s="33" t="n">
        <v>0</v>
      </c>
      <c r="BU99" s="40" t="n">
        <v>0</v>
      </c>
      <c r="BV99" s="33" t="n">
        <v>0</v>
      </c>
    </row>
    <row r="100" ht="19" customHeight="1" s="100" thickBot="1">
      <c r="C100" s="2" t="n"/>
      <c r="E100" s="118">
        <f>E40</f>
        <v/>
      </c>
      <c r="F100" s="103" t="n"/>
      <c r="G100" s="103" t="n"/>
      <c r="H100" s="103" t="n"/>
      <c r="I100" s="103" t="n"/>
      <c r="J100" s="103" t="n"/>
      <c r="K100" s="104" t="n"/>
      <c r="L100" s="119">
        <f>L40</f>
        <v/>
      </c>
      <c r="M100" s="103" t="n"/>
      <c r="N100" s="103" t="n"/>
      <c r="O100" s="104" t="n"/>
      <c r="P100" s="120">
        <f>$P$98/14</f>
        <v/>
      </c>
      <c r="Q100" s="103" t="n"/>
      <c r="R100" s="103" t="n"/>
      <c r="S100" s="103" t="n"/>
      <c r="T100" s="103" t="n"/>
      <c r="U100" s="103" t="n"/>
      <c r="V100" s="103" t="n"/>
      <c r="W100" s="104" t="n"/>
      <c r="X100" s="107">
        <f>BU100</f>
        <v/>
      </c>
      <c r="Y100" s="103" t="n"/>
      <c r="Z100" s="103" t="n"/>
      <c r="AA100" s="103" t="n"/>
      <c r="AB100" s="103" t="n"/>
      <c r="AC100" s="103" t="n"/>
      <c r="AD100" s="103" t="n"/>
      <c r="AE100" s="104" t="n"/>
      <c r="AF100" s="107">
        <f>BV100</f>
        <v/>
      </c>
      <c r="AG100" s="103" t="n"/>
      <c r="AH100" s="103" t="n"/>
      <c r="AI100" s="103" t="n"/>
      <c r="AJ100" s="103" t="n"/>
      <c r="AK100" s="103" t="n"/>
      <c r="AL100" s="103" t="n"/>
      <c r="AM100" s="104" t="n"/>
      <c r="AN100" s="116">
        <f>AF100/X100*100</f>
        <v/>
      </c>
      <c r="AO100" s="103" t="n"/>
      <c r="AP100" s="103" t="n"/>
      <c r="AQ100" s="103" t="n"/>
      <c r="AR100" s="103" t="n"/>
      <c r="AS100" s="103" t="n"/>
      <c r="AT100" s="103" t="n"/>
      <c r="AU100" s="104" t="n"/>
      <c r="AV100" s="107">
        <f>IF(P100=0, ,P100/X100*1000)</f>
        <v/>
      </c>
      <c r="AW100" s="103" t="n"/>
      <c r="AX100" s="103" t="n"/>
      <c r="AY100" s="103" t="n"/>
      <c r="AZ100" s="103" t="n"/>
      <c r="BA100" s="103" t="n"/>
      <c r="BB100" s="103" t="n"/>
      <c r="BC100" s="104" t="n"/>
      <c r="BD100" s="107">
        <f>IF(P100=0, ,P100/AF100)</f>
        <v/>
      </c>
      <c r="BE100" s="103" t="n"/>
      <c r="BF100" s="103" t="n"/>
      <c r="BG100" s="103" t="n"/>
      <c r="BH100" s="103" t="n"/>
      <c r="BI100" s="103" t="n"/>
      <c r="BJ100" s="104" t="n"/>
      <c r="BT100" s="33" t="n">
        <v>0</v>
      </c>
      <c r="BU100" s="40" t="n">
        <v>0</v>
      </c>
      <c r="BV100" s="33" t="n">
        <v>0</v>
      </c>
    </row>
    <row r="101" ht="19" customHeight="1" s="100" thickBot="1">
      <c r="C101" s="2" t="n"/>
      <c r="E101" s="118">
        <f>E41</f>
        <v/>
      </c>
      <c r="F101" s="103" t="n"/>
      <c r="G101" s="103" t="n"/>
      <c r="H101" s="103" t="n"/>
      <c r="I101" s="103" t="n"/>
      <c r="J101" s="103" t="n"/>
      <c r="K101" s="104" t="n"/>
      <c r="L101" s="119">
        <f>L41</f>
        <v/>
      </c>
      <c r="M101" s="103" t="n"/>
      <c r="N101" s="103" t="n"/>
      <c r="O101" s="104" t="n"/>
      <c r="P101" s="120">
        <f>$P$98/14</f>
        <v/>
      </c>
      <c r="Q101" s="103" t="n"/>
      <c r="R101" s="103" t="n"/>
      <c r="S101" s="103" t="n"/>
      <c r="T101" s="103" t="n"/>
      <c r="U101" s="103" t="n"/>
      <c r="V101" s="103" t="n"/>
      <c r="W101" s="104" t="n"/>
      <c r="X101" s="107">
        <f>BU101</f>
        <v/>
      </c>
      <c r="Y101" s="103" t="n"/>
      <c r="Z101" s="103" t="n"/>
      <c r="AA101" s="103" t="n"/>
      <c r="AB101" s="103" t="n"/>
      <c r="AC101" s="103" t="n"/>
      <c r="AD101" s="103" t="n"/>
      <c r="AE101" s="104" t="n"/>
      <c r="AF101" s="107">
        <f>BV101</f>
        <v/>
      </c>
      <c r="AG101" s="103" t="n"/>
      <c r="AH101" s="103" t="n"/>
      <c r="AI101" s="103" t="n"/>
      <c r="AJ101" s="103" t="n"/>
      <c r="AK101" s="103" t="n"/>
      <c r="AL101" s="103" t="n"/>
      <c r="AM101" s="104" t="n"/>
      <c r="AN101" s="116">
        <f>AF101/X101*100</f>
        <v/>
      </c>
      <c r="AO101" s="103" t="n"/>
      <c r="AP101" s="103" t="n"/>
      <c r="AQ101" s="103" t="n"/>
      <c r="AR101" s="103" t="n"/>
      <c r="AS101" s="103" t="n"/>
      <c r="AT101" s="103" t="n"/>
      <c r="AU101" s="104" t="n"/>
      <c r="AV101" s="107">
        <f>IF(P101=0, ,P101/X101*1000)</f>
        <v/>
      </c>
      <c r="AW101" s="103" t="n"/>
      <c r="AX101" s="103" t="n"/>
      <c r="AY101" s="103" t="n"/>
      <c r="AZ101" s="103" t="n"/>
      <c r="BA101" s="103" t="n"/>
      <c r="BB101" s="103" t="n"/>
      <c r="BC101" s="104" t="n"/>
      <c r="BD101" s="107">
        <f>IF(P101=0, ,P101/AF101)</f>
        <v/>
      </c>
      <c r="BE101" s="103" t="n"/>
      <c r="BF101" s="103" t="n"/>
      <c r="BG101" s="103" t="n"/>
      <c r="BH101" s="103" t="n"/>
      <c r="BI101" s="103" t="n"/>
      <c r="BJ101" s="104" t="n"/>
      <c r="BT101" s="33" t="n">
        <v>0</v>
      </c>
      <c r="BU101" s="40" t="n">
        <v>0</v>
      </c>
      <c r="BV101" s="33" t="n">
        <v>0</v>
      </c>
    </row>
    <row r="102" ht="19" customHeight="1" s="100" thickBot="1">
      <c r="C102" s="2" t="n"/>
      <c r="E102" s="118">
        <f>E42</f>
        <v/>
      </c>
      <c r="F102" s="103" t="n"/>
      <c r="G102" s="103" t="n"/>
      <c r="H102" s="103" t="n"/>
      <c r="I102" s="103" t="n"/>
      <c r="J102" s="103" t="n"/>
      <c r="K102" s="104" t="n"/>
      <c r="L102" s="119">
        <f>L42</f>
        <v/>
      </c>
      <c r="M102" s="103" t="n"/>
      <c r="N102" s="103" t="n"/>
      <c r="O102" s="104" t="n"/>
      <c r="P102" s="120">
        <f>$P$98/14</f>
        <v/>
      </c>
      <c r="Q102" s="103" t="n"/>
      <c r="R102" s="103" t="n"/>
      <c r="S102" s="103" t="n"/>
      <c r="T102" s="103" t="n"/>
      <c r="U102" s="103" t="n"/>
      <c r="V102" s="103" t="n"/>
      <c r="W102" s="104" t="n"/>
      <c r="X102" s="107">
        <f>BU102</f>
        <v/>
      </c>
      <c r="Y102" s="103" t="n"/>
      <c r="Z102" s="103" t="n"/>
      <c r="AA102" s="103" t="n"/>
      <c r="AB102" s="103" t="n"/>
      <c r="AC102" s="103" t="n"/>
      <c r="AD102" s="103" t="n"/>
      <c r="AE102" s="104" t="n"/>
      <c r="AF102" s="107">
        <f>BV102</f>
        <v/>
      </c>
      <c r="AG102" s="103" t="n"/>
      <c r="AH102" s="103" t="n"/>
      <c r="AI102" s="103" t="n"/>
      <c r="AJ102" s="103" t="n"/>
      <c r="AK102" s="103" t="n"/>
      <c r="AL102" s="103" t="n"/>
      <c r="AM102" s="104" t="n"/>
      <c r="AN102" s="116">
        <f>AF102/X102*100</f>
        <v/>
      </c>
      <c r="AO102" s="103" t="n"/>
      <c r="AP102" s="103" t="n"/>
      <c r="AQ102" s="103" t="n"/>
      <c r="AR102" s="103" t="n"/>
      <c r="AS102" s="103" t="n"/>
      <c r="AT102" s="103" t="n"/>
      <c r="AU102" s="104" t="n"/>
      <c r="AV102" s="107">
        <f>IF(P102=0, ,P102/X102*1000)</f>
        <v/>
      </c>
      <c r="AW102" s="103" t="n"/>
      <c r="AX102" s="103" t="n"/>
      <c r="AY102" s="103" t="n"/>
      <c r="AZ102" s="103" t="n"/>
      <c r="BA102" s="103" t="n"/>
      <c r="BB102" s="103" t="n"/>
      <c r="BC102" s="104" t="n"/>
      <c r="BD102" s="107">
        <f>IF(P102=0, ,P102/AF102)</f>
        <v/>
      </c>
      <c r="BE102" s="103" t="n"/>
      <c r="BF102" s="103" t="n"/>
      <c r="BG102" s="103" t="n"/>
      <c r="BH102" s="103" t="n"/>
      <c r="BI102" s="103" t="n"/>
      <c r="BJ102" s="104" t="n"/>
      <c r="BT102" s="33" t="n">
        <v>0</v>
      </c>
      <c r="BU102" s="40" t="n">
        <v>0</v>
      </c>
      <c r="BV102" s="33" t="n">
        <v>0</v>
      </c>
    </row>
    <row r="103" ht="19" customHeight="1" s="100" thickBot="1">
      <c r="C103" s="2" t="n"/>
      <c r="E103" s="118">
        <f>E43</f>
        <v/>
      </c>
      <c r="F103" s="103" t="n"/>
      <c r="G103" s="103" t="n"/>
      <c r="H103" s="103" t="n"/>
      <c r="I103" s="103" t="n"/>
      <c r="J103" s="103" t="n"/>
      <c r="K103" s="104" t="n"/>
      <c r="L103" s="119">
        <f>L43</f>
        <v/>
      </c>
      <c r="M103" s="103" t="n"/>
      <c r="N103" s="103" t="n"/>
      <c r="O103" s="104" t="n"/>
      <c r="P103" s="120">
        <f>$P$98/14</f>
        <v/>
      </c>
      <c r="Q103" s="103" t="n"/>
      <c r="R103" s="103" t="n"/>
      <c r="S103" s="103" t="n"/>
      <c r="T103" s="103" t="n"/>
      <c r="U103" s="103" t="n"/>
      <c r="V103" s="103" t="n"/>
      <c r="W103" s="104" t="n"/>
      <c r="X103" s="107">
        <f>BU103</f>
        <v/>
      </c>
      <c r="Y103" s="103" t="n"/>
      <c r="Z103" s="103" t="n"/>
      <c r="AA103" s="103" t="n"/>
      <c r="AB103" s="103" t="n"/>
      <c r="AC103" s="103" t="n"/>
      <c r="AD103" s="103" t="n"/>
      <c r="AE103" s="104" t="n"/>
      <c r="AF103" s="107">
        <f>BV103</f>
        <v/>
      </c>
      <c r="AG103" s="103" t="n"/>
      <c r="AH103" s="103" t="n"/>
      <c r="AI103" s="103" t="n"/>
      <c r="AJ103" s="103" t="n"/>
      <c r="AK103" s="103" t="n"/>
      <c r="AL103" s="103" t="n"/>
      <c r="AM103" s="104" t="n"/>
      <c r="AN103" s="116">
        <f>AF103/X103*100</f>
        <v/>
      </c>
      <c r="AO103" s="103" t="n"/>
      <c r="AP103" s="103" t="n"/>
      <c r="AQ103" s="103" t="n"/>
      <c r="AR103" s="103" t="n"/>
      <c r="AS103" s="103" t="n"/>
      <c r="AT103" s="103" t="n"/>
      <c r="AU103" s="104" t="n"/>
      <c r="AV103" s="107">
        <f>IF(P103=0, ,P103/X103*1000)</f>
        <v/>
      </c>
      <c r="AW103" s="103" t="n"/>
      <c r="AX103" s="103" t="n"/>
      <c r="AY103" s="103" t="n"/>
      <c r="AZ103" s="103" t="n"/>
      <c r="BA103" s="103" t="n"/>
      <c r="BB103" s="103" t="n"/>
      <c r="BC103" s="104" t="n"/>
      <c r="BD103" s="107">
        <f>IF(P103=0, ,P103/AF103)</f>
        <v/>
      </c>
      <c r="BE103" s="103" t="n"/>
      <c r="BF103" s="103" t="n"/>
      <c r="BG103" s="103" t="n"/>
      <c r="BH103" s="103" t="n"/>
      <c r="BI103" s="103" t="n"/>
      <c r="BJ103" s="104" t="n"/>
      <c r="BT103" s="33" t="n">
        <v>0</v>
      </c>
      <c r="BU103" s="40" t="n">
        <v>0</v>
      </c>
      <c r="BV103" s="33" t="n">
        <v>0</v>
      </c>
    </row>
    <row r="104" ht="19" customHeight="1" s="100" thickBot="1">
      <c r="C104" s="2" t="n"/>
      <c r="E104" s="118">
        <f>E44</f>
        <v/>
      </c>
      <c r="F104" s="103" t="n"/>
      <c r="G104" s="103" t="n"/>
      <c r="H104" s="103" t="n"/>
      <c r="I104" s="103" t="n"/>
      <c r="J104" s="103" t="n"/>
      <c r="K104" s="104" t="n"/>
      <c r="L104" s="119">
        <f>L44</f>
        <v/>
      </c>
      <c r="M104" s="103" t="n"/>
      <c r="N104" s="103" t="n"/>
      <c r="O104" s="104" t="n"/>
      <c r="P104" s="120">
        <f>$P$98/14</f>
        <v/>
      </c>
      <c r="Q104" s="103" t="n"/>
      <c r="R104" s="103" t="n"/>
      <c r="S104" s="103" t="n"/>
      <c r="T104" s="103" t="n"/>
      <c r="U104" s="103" t="n"/>
      <c r="V104" s="103" t="n"/>
      <c r="W104" s="104" t="n"/>
      <c r="X104" s="107">
        <f>BU104</f>
        <v/>
      </c>
      <c r="Y104" s="103" t="n"/>
      <c r="Z104" s="103" t="n"/>
      <c r="AA104" s="103" t="n"/>
      <c r="AB104" s="103" t="n"/>
      <c r="AC104" s="103" t="n"/>
      <c r="AD104" s="103" t="n"/>
      <c r="AE104" s="104" t="n"/>
      <c r="AF104" s="107">
        <f>BV104</f>
        <v/>
      </c>
      <c r="AG104" s="103" t="n"/>
      <c r="AH104" s="103" t="n"/>
      <c r="AI104" s="103" t="n"/>
      <c r="AJ104" s="103" t="n"/>
      <c r="AK104" s="103" t="n"/>
      <c r="AL104" s="103" t="n"/>
      <c r="AM104" s="104" t="n"/>
      <c r="AN104" s="116">
        <f>AF104/X104*100</f>
        <v/>
      </c>
      <c r="AO104" s="103" t="n"/>
      <c r="AP104" s="103" t="n"/>
      <c r="AQ104" s="103" t="n"/>
      <c r="AR104" s="103" t="n"/>
      <c r="AS104" s="103" t="n"/>
      <c r="AT104" s="103" t="n"/>
      <c r="AU104" s="104" t="n"/>
      <c r="AV104" s="107">
        <f>IF(P104=0, ,P104/X104*1000)</f>
        <v/>
      </c>
      <c r="AW104" s="103" t="n"/>
      <c r="AX104" s="103" t="n"/>
      <c r="AY104" s="103" t="n"/>
      <c r="AZ104" s="103" t="n"/>
      <c r="BA104" s="103" t="n"/>
      <c r="BB104" s="103" t="n"/>
      <c r="BC104" s="104" t="n"/>
      <c r="BD104" s="107">
        <f>IF(P104=0, ,P104/AF104)</f>
        <v/>
      </c>
      <c r="BE104" s="103" t="n"/>
      <c r="BF104" s="103" t="n"/>
      <c r="BG104" s="103" t="n"/>
      <c r="BH104" s="103" t="n"/>
      <c r="BI104" s="103" t="n"/>
      <c r="BJ104" s="104" t="n"/>
      <c r="BT104" s="33" t="n">
        <v>0</v>
      </c>
      <c r="BU104" s="40" t="n">
        <v>0</v>
      </c>
      <c r="BV104" s="33" t="n">
        <v>0</v>
      </c>
    </row>
    <row r="105" ht="19" customHeight="1" s="100" thickBot="1">
      <c r="C105" s="2" t="n"/>
      <c r="E105" s="118">
        <f>E45</f>
        <v/>
      </c>
      <c r="F105" s="103" t="n"/>
      <c r="G105" s="103" t="n"/>
      <c r="H105" s="103" t="n"/>
      <c r="I105" s="103" t="n"/>
      <c r="J105" s="103" t="n"/>
      <c r="K105" s="104" t="n"/>
      <c r="L105" s="119">
        <f>L45</f>
        <v/>
      </c>
      <c r="M105" s="103" t="n"/>
      <c r="N105" s="103" t="n"/>
      <c r="O105" s="104" t="n"/>
      <c r="P105" s="120">
        <f>$P$98/14</f>
        <v/>
      </c>
      <c r="Q105" s="103" t="n"/>
      <c r="R105" s="103" t="n"/>
      <c r="S105" s="103" t="n"/>
      <c r="T105" s="103" t="n"/>
      <c r="U105" s="103" t="n"/>
      <c r="V105" s="103" t="n"/>
      <c r="W105" s="104" t="n"/>
      <c r="X105" s="107">
        <f>BU105</f>
        <v/>
      </c>
      <c r="Y105" s="103" t="n"/>
      <c r="Z105" s="103" t="n"/>
      <c r="AA105" s="103" t="n"/>
      <c r="AB105" s="103" t="n"/>
      <c r="AC105" s="103" t="n"/>
      <c r="AD105" s="103" t="n"/>
      <c r="AE105" s="104" t="n"/>
      <c r="AF105" s="107">
        <f>BV105</f>
        <v/>
      </c>
      <c r="AG105" s="103" t="n"/>
      <c r="AH105" s="103" t="n"/>
      <c r="AI105" s="103" t="n"/>
      <c r="AJ105" s="103" t="n"/>
      <c r="AK105" s="103" t="n"/>
      <c r="AL105" s="103" t="n"/>
      <c r="AM105" s="104" t="n"/>
      <c r="AN105" s="116">
        <f>AF105/X105*100</f>
        <v/>
      </c>
      <c r="AO105" s="103" t="n"/>
      <c r="AP105" s="103" t="n"/>
      <c r="AQ105" s="103" t="n"/>
      <c r="AR105" s="103" t="n"/>
      <c r="AS105" s="103" t="n"/>
      <c r="AT105" s="103" t="n"/>
      <c r="AU105" s="104" t="n"/>
      <c r="AV105" s="107">
        <f>IF(P105=0, ,P105/X105*1000)</f>
        <v/>
      </c>
      <c r="AW105" s="103" t="n"/>
      <c r="AX105" s="103" t="n"/>
      <c r="AY105" s="103" t="n"/>
      <c r="AZ105" s="103" t="n"/>
      <c r="BA105" s="103" t="n"/>
      <c r="BB105" s="103" t="n"/>
      <c r="BC105" s="104" t="n"/>
      <c r="BD105" s="107">
        <f>IF(P105=0, ,P105/AF105)</f>
        <v/>
      </c>
      <c r="BE105" s="103" t="n"/>
      <c r="BF105" s="103" t="n"/>
      <c r="BG105" s="103" t="n"/>
      <c r="BH105" s="103" t="n"/>
      <c r="BI105" s="103" t="n"/>
      <c r="BJ105" s="104" t="n"/>
      <c r="BT105" s="33" t="n">
        <v>0</v>
      </c>
      <c r="BU105" s="40" t="n">
        <v>0</v>
      </c>
      <c r="BV105" s="29" t="n">
        <v>0</v>
      </c>
    </row>
    <row r="106" ht="19" customHeight="1" s="100" thickBot="1">
      <c r="C106" s="2" t="n"/>
      <c r="E106" s="118">
        <f>E46</f>
        <v/>
      </c>
      <c r="F106" s="103" t="n"/>
      <c r="G106" s="103" t="n"/>
      <c r="H106" s="103" t="n"/>
      <c r="I106" s="103" t="n"/>
      <c r="J106" s="103" t="n"/>
      <c r="K106" s="104" t="n"/>
      <c r="L106" s="119">
        <f>L46</f>
        <v/>
      </c>
      <c r="M106" s="103" t="n"/>
      <c r="N106" s="103" t="n"/>
      <c r="O106" s="104" t="n"/>
      <c r="P106" s="120">
        <f>$P$98/14</f>
        <v/>
      </c>
      <c r="Q106" s="103" t="n"/>
      <c r="R106" s="103" t="n"/>
      <c r="S106" s="103" t="n"/>
      <c r="T106" s="103" t="n"/>
      <c r="U106" s="103" t="n"/>
      <c r="V106" s="103" t="n"/>
      <c r="W106" s="104" t="n"/>
      <c r="X106" s="107">
        <f>BU106</f>
        <v/>
      </c>
      <c r="Y106" s="103" t="n"/>
      <c r="Z106" s="103" t="n"/>
      <c r="AA106" s="103" t="n"/>
      <c r="AB106" s="103" t="n"/>
      <c r="AC106" s="103" t="n"/>
      <c r="AD106" s="103" t="n"/>
      <c r="AE106" s="104" t="n"/>
      <c r="AF106" s="107">
        <f>BV106</f>
        <v/>
      </c>
      <c r="AG106" s="103" t="n"/>
      <c r="AH106" s="103" t="n"/>
      <c r="AI106" s="103" t="n"/>
      <c r="AJ106" s="103" t="n"/>
      <c r="AK106" s="103" t="n"/>
      <c r="AL106" s="103" t="n"/>
      <c r="AM106" s="104" t="n"/>
      <c r="AN106" s="116">
        <f>AF106/X106*100</f>
        <v/>
      </c>
      <c r="AO106" s="103" t="n"/>
      <c r="AP106" s="103" t="n"/>
      <c r="AQ106" s="103" t="n"/>
      <c r="AR106" s="103" t="n"/>
      <c r="AS106" s="103" t="n"/>
      <c r="AT106" s="103" t="n"/>
      <c r="AU106" s="104" t="n"/>
      <c r="AV106" s="107">
        <f>IF(P106=0, ,P106/X106*1000)</f>
        <v/>
      </c>
      <c r="AW106" s="103" t="n"/>
      <c r="AX106" s="103" t="n"/>
      <c r="AY106" s="103" t="n"/>
      <c r="AZ106" s="103" t="n"/>
      <c r="BA106" s="103" t="n"/>
      <c r="BB106" s="103" t="n"/>
      <c r="BC106" s="104" t="n"/>
      <c r="BD106" s="107">
        <f>IF(P106=0, ,P106/AF106)</f>
        <v/>
      </c>
      <c r="BE106" s="103" t="n"/>
      <c r="BF106" s="103" t="n"/>
      <c r="BG106" s="103" t="n"/>
      <c r="BH106" s="103" t="n"/>
      <c r="BI106" s="103" t="n"/>
      <c r="BJ106" s="104" t="n"/>
      <c r="BT106" s="33" t="n">
        <v>0</v>
      </c>
      <c r="BU106" s="28" t="n">
        <v>0</v>
      </c>
      <c r="BV106" s="21" t="n">
        <v>0</v>
      </c>
    </row>
    <row r="107" ht="19" customHeight="1" s="100" thickBot="1">
      <c r="C107" s="2" t="n"/>
      <c r="E107" s="118">
        <f>E47</f>
        <v/>
      </c>
      <c r="F107" s="103" t="n"/>
      <c r="G107" s="103" t="n"/>
      <c r="H107" s="103" t="n"/>
      <c r="I107" s="103" t="n"/>
      <c r="J107" s="103" t="n"/>
      <c r="K107" s="104" t="n"/>
      <c r="L107" s="119">
        <f>L47</f>
        <v/>
      </c>
      <c r="M107" s="103" t="n"/>
      <c r="N107" s="103" t="n"/>
      <c r="O107" s="104" t="n"/>
      <c r="P107" s="120">
        <f>$P$98/14</f>
        <v/>
      </c>
      <c r="Q107" s="103" t="n"/>
      <c r="R107" s="103" t="n"/>
      <c r="S107" s="103" t="n"/>
      <c r="T107" s="103" t="n"/>
      <c r="U107" s="103" t="n"/>
      <c r="V107" s="103" t="n"/>
      <c r="W107" s="104" t="n"/>
      <c r="X107" s="107">
        <f>BU107</f>
        <v/>
      </c>
      <c r="Y107" s="103" t="n"/>
      <c r="Z107" s="103" t="n"/>
      <c r="AA107" s="103" t="n"/>
      <c r="AB107" s="103" t="n"/>
      <c r="AC107" s="103" t="n"/>
      <c r="AD107" s="103" t="n"/>
      <c r="AE107" s="104" t="n"/>
      <c r="AF107" s="107">
        <f>BV107</f>
        <v/>
      </c>
      <c r="AG107" s="103" t="n"/>
      <c r="AH107" s="103" t="n"/>
      <c r="AI107" s="103" t="n"/>
      <c r="AJ107" s="103" t="n"/>
      <c r="AK107" s="103" t="n"/>
      <c r="AL107" s="103" t="n"/>
      <c r="AM107" s="104" t="n"/>
      <c r="AN107" s="116">
        <f>AF107/X107*100</f>
        <v/>
      </c>
      <c r="AO107" s="103" t="n"/>
      <c r="AP107" s="103" t="n"/>
      <c r="AQ107" s="103" t="n"/>
      <c r="AR107" s="103" t="n"/>
      <c r="AS107" s="103" t="n"/>
      <c r="AT107" s="103" t="n"/>
      <c r="AU107" s="104" t="n"/>
      <c r="AV107" s="107">
        <f>IF(P107=0, ,P107/X107*1000)</f>
        <v/>
      </c>
      <c r="AW107" s="103" t="n"/>
      <c r="AX107" s="103" t="n"/>
      <c r="AY107" s="103" t="n"/>
      <c r="AZ107" s="103" t="n"/>
      <c r="BA107" s="103" t="n"/>
      <c r="BB107" s="103" t="n"/>
      <c r="BC107" s="104" t="n"/>
      <c r="BD107" s="107">
        <f>IF(P107=0, ,P107/AF107)</f>
        <v/>
      </c>
      <c r="BE107" s="103" t="n"/>
      <c r="BF107" s="103" t="n"/>
      <c r="BG107" s="103" t="n"/>
      <c r="BH107" s="103" t="n"/>
      <c r="BI107" s="103" t="n"/>
      <c r="BJ107" s="104" t="n"/>
      <c r="BT107" s="33" t="n">
        <v>0</v>
      </c>
      <c r="BU107" s="23" t="n">
        <v>0</v>
      </c>
      <c r="BV107" s="21" t="n">
        <v>0</v>
      </c>
    </row>
    <row r="108" ht="19" customHeight="1" s="100" thickBot="1">
      <c r="C108" s="2" t="n"/>
      <c r="E108" s="118">
        <f>E48</f>
        <v/>
      </c>
      <c r="F108" s="103" t="n"/>
      <c r="G108" s="103" t="n"/>
      <c r="H108" s="103" t="n"/>
      <c r="I108" s="103" t="n"/>
      <c r="J108" s="103" t="n"/>
      <c r="K108" s="104" t="n"/>
      <c r="L108" s="119">
        <f>L48</f>
        <v/>
      </c>
      <c r="M108" s="103" t="n"/>
      <c r="N108" s="103" t="n"/>
      <c r="O108" s="104" t="n"/>
      <c r="P108" s="120">
        <f>$P$98/14</f>
        <v/>
      </c>
      <c r="Q108" s="103" t="n"/>
      <c r="R108" s="103" t="n"/>
      <c r="S108" s="103" t="n"/>
      <c r="T108" s="103" t="n"/>
      <c r="U108" s="103" t="n"/>
      <c r="V108" s="103" t="n"/>
      <c r="W108" s="104" t="n"/>
      <c r="X108" s="107">
        <f>BU108</f>
        <v/>
      </c>
      <c r="Y108" s="103" t="n"/>
      <c r="Z108" s="103" t="n"/>
      <c r="AA108" s="103" t="n"/>
      <c r="AB108" s="103" t="n"/>
      <c r="AC108" s="103" t="n"/>
      <c r="AD108" s="103" t="n"/>
      <c r="AE108" s="104" t="n"/>
      <c r="AF108" s="107">
        <f>BV108</f>
        <v/>
      </c>
      <c r="AG108" s="103" t="n"/>
      <c r="AH108" s="103" t="n"/>
      <c r="AI108" s="103" t="n"/>
      <c r="AJ108" s="103" t="n"/>
      <c r="AK108" s="103" t="n"/>
      <c r="AL108" s="103" t="n"/>
      <c r="AM108" s="104" t="n"/>
      <c r="AN108" s="116">
        <f>AF108/X108*100</f>
        <v/>
      </c>
      <c r="AO108" s="103" t="n"/>
      <c r="AP108" s="103" t="n"/>
      <c r="AQ108" s="103" t="n"/>
      <c r="AR108" s="103" t="n"/>
      <c r="AS108" s="103" t="n"/>
      <c r="AT108" s="103" t="n"/>
      <c r="AU108" s="104" t="n"/>
      <c r="AV108" s="107">
        <f>IF(P108=0, ,P108/X108*1000)</f>
        <v/>
      </c>
      <c r="AW108" s="103" t="n"/>
      <c r="AX108" s="103" t="n"/>
      <c r="AY108" s="103" t="n"/>
      <c r="AZ108" s="103" t="n"/>
      <c r="BA108" s="103" t="n"/>
      <c r="BB108" s="103" t="n"/>
      <c r="BC108" s="104" t="n"/>
      <c r="BD108" s="107">
        <f>IF(P108=0, ,P108/AF108)</f>
        <v/>
      </c>
      <c r="BE108" s="103" t="n"/>
      <c r="BF108" s="103" t="n"/>
      <c r="BG108" s="103" t="n"/>
      <c r="BH108" s="103" t="n"/>
      <c r="BI108" s="103" t="n"/>
      <c r="BJ108" s="104" t="n"/>
      <c r="BT108" s="33" t="n">
        <v>0</v>
      </c>
      <c r="BU108" s="23" t="n">
        <v>0</v>
      </c>
      <c r="BV108" s="21" t="n">
        <v>0</v>
      </c>
    </row>
    <row r="109" ht="19" customHeight="1" s="100" thickBot="1">
      <c r="C109" s="2" t="n"/>
      <c r="E109" s="118">
        <f>E49</f>
        <v/>
      </c>
      <c r="F109" s="103" t="n"/>
      <c r="G109" s="103" t="n"/>
      <c r="H109" s="103" t="n"/>
      <c r="I109" s="103" t="n"/>
      <c r="J109" s="103" t="n"/>
      <c r="K109" s="104" t="n"/>
      <c r="L109" s="119">
        <f>L49</f>
        <v/>
      </c>
      <c r="M109" s="103" t="n"/>
      <c r="N109" s="103" t="n"/>
      <c r="O109" s="104" t="n"/>
      <c r="P109" s="120">
        <f>$P$98/14</f>
        <v/>
      </c>
      <c r="Q109" s="103" t="n"/>
      <c r="R109" s="103" t="n"/>
      <c r="S109" s="103" t="n"/>
      <c r="T109" s="103" t="n"/>
      <c r="U109" s="103" t="n"/>
      <c r="V109" s="103" t="n"/>
      <c r="W109" s="104" t="n"/>
      <c r="X109" s="107">
        <f>BU109</f>
        <v/>
      </c>
      <c r="Y109" s="103" t="n"/>
      <c r="Z109" s="103" t="n"/>
      <c r="AA109" s="103" t="n"/>
      <c r="AB109" s="103" t="n"/>
      <c r="AC109" s="103" t="n"/>
      <c r="AD109" s="103" t="n"/>
      <c r="AE109" s="104" t="n"/>
      <c r="AF109" s="107">
        <f>BV109</f>
        <v/>
      </c>
      <c r="AG109" s="103" t="n"/>
      <c r="AH109" s="103" t="n"/>
      <c r="AI109" s="103" t="n"/>
      <c r="AJ109" s="103" t="n"/>
      <c r="AK109" s="103" t="n"/>
      <c r="AL109" s="103" t="n"/>
      <c r="AM109" s="104" t="n"/>
      <c r="AN109" s="116">
        <f>AF109/X109*100</f>
        <v/>
      </c>
      <c r="AO109" s="103" t="n"/>
      <c r="AP109" s="103" t="n"/>
      <c r="AQ109" s="103" t="n"/>
      <c r="AR109" s="103" t="n"/>
      <c r="AS109" s="103" t="n"/>
      <c r="AT109" s="103" t="n"/>
      <c r="AU109" s="104" t="n"/>
      <c r="AV109" s="107">
        <f>IF(P109=0, ,P109/X109*1000)</f>
        <v/>
      </c>
      <c r="AW109" s="103" t="n"/>
      <c r="AX109" s="103" t="n"/>
      <c r="AY109" s="103" t="n"/>
      <c r="AZ109" s="103" t="n"/>
      <c r="BA109" s="103" t="n"/>
      <c r="BB109" s="103" t="n"/>
      <c r="BC109" s="104" t="n"/>
      <c r="BD109" s="107">
        <f>IF(P109=0, ,P109/AF109)</f>
        <v/>
      </c>
      <c r="BE109" s="103" t="n"/>
      <c r="BF109" s="103" t="n"/>
      <c r="BG109" s="103" t="n"/>
      <c r="BH109" s="103" t="n"/>
      <c r="BI109" s="103" t="n"/>
      <c r="BJ109" s="104" t="n"/>
      <c r="BT109" s="33" t="n">
        <v>0</v>
      </c>
      <c r="BU109" s="35" t="n">
        <v>0</v>
      </c>
      <c r="BV109" s="34" t="n">
        <v>0</v>
      </c>
    </row>
    <row r="110" ht="19" customHeight="1" s="100" thickBot="1">
      <c r="C110" s="2" t="n"/>
      <c r="E110" s="118">
        <f>E50</f>
        <v/>
      </c>
      <c r="F110" s="103" t="n"/>
      <c r="G110" s="103" t="n"/>
      <c r="H110" s="103" t="n"/>
      <c r="I110" s="103" t="n"/>
      <c r="J110" s="103" t="n"/>
      <c r="K110" s="104" t="n"/>
      <c r="L110" s="119">
        <f>L50</f>
        <v/>
      </c>
      <c r="M110" s="103" t="n"/>
      <c r="N110" s="103" t="n"/>
      <c r="O110" s="104" t="n"/>
      <c r="P110" s="120">
        <f>$P$98/14</f>
        <v/>
      </c>
      <c r="Q110" s="103" t="n"/>
      <c r="R110" s="103" t="n"/>
      <c r="S110" s="103" t="n"/>
      <c r="T110" s="103" t="n"/>
      <c r="U110" s="103" t="n"/>
      <c r="V110" s="103" t="n"/>
      <c r="W110" s="104" t="n"/>
      <c r="X110" s="107">
        <f>BU110</f>
        <v/>
      </c>
      <c r="Y110" s="103" t="n"/>
      <c r="Z110" s="103" t="n"/>
      <c r="AA110" s="103" t="n"/>
      <c r="AB110" s="103" t="n"/>
      <c r="AC110" s="103" t="n"/>
      <c r="AD110" s="103" t="n"/>
      <c r="AE110" s="104" t="n"/>
      <c r="AF110" s="107">
        <f>BV110</f>
        <v/>
      </c>
      <c r="AG110" s="103" t="n"/>
      <c r="AH110" s="103" t="n"/>
      <c r="AI110" s="103" t="n"/>
      <c r="AJ110" s="103" t="n"/>
      <c r="AK110" s="103" t="n"/>
      <c r="AL110" s="103" t="n"/>
      <c r="AM110" s="104" t="n"/>
      <c r="AN110" s="116">
        <f>AF110/X110*100</f>
        <v/>
      </c>
      <c r="AO110" s="103" t="n"/>
      <c r="AP110" s="103" t="n"/>
      <c r="AQ110" s="103" t="n"/>
      <c r="AR110" s="103" t="n"/>
      <c r="AS110" s="103" t="n"/>
      <c r="AT110" s="103" t="n"/>
      <c r="AU110" s="104" t="n"/>
      <c r="AV110" s="107">
        <f>IF(P110=0, ,P110/X110*1000)</f>
        <v/>
      </c>
      <c r="AW110" s="103" t="n"/>
      <c r="AX110" s="103" t="n"/>
      <c r="AY110" s="103" t="n"/>
      <c r="AZ110" s="103" t="n"/>
      <c r="BA110" s="103" t="n"/>
      <c r="BB110" s="103" t="n"/>
      <c r="BC110" s="104" t="n"/>
      <c r="BD110" s="107">
        <f>IF(P110=0, ,P110/AF110)</f>
        <v/>
      </c>
      <c r="BE110" s="103" t="n"/>
      <c r="BF110" s="103" t="n"/>
      <c r="BG110" s="103" t="n"/>
      <c r="BH110" s="103" t="n"/>
      <c r="BI110" s="103" t="n"/>
      <c r="BJ110" s="104" t="n"/>
      <c r="BT110" s="33" t="n">
        <v>0</v>
      </c>
      <c r="BU110" s="35" t="n">
        <v>0</v>
      </c>
      <c r="BV110" s="35" t="n">
        <v>0</v>
      </c>
    </row>
    <row r="111" ht="19" customHeight="1" s="100" thickBot="1">
      <c r="C111" s="2" t="n"/>
      <c r="E111" s="118">
        <f>E51</f>
        <v/>
      </c>
      <c r="F111" s="103" t="n"/>
      <c r="G111" s="103" t="n"/>
      <c r="H111" s="103" t="n"/>
      <c r="I111" s="103" t="n"/>
      <c r="J111" s="103" t="n"/>
      <c r="K111" s="104" t="n"/>
      <c r="L111" s="119">
        <f>L51</f>
        <v/>
      </c>
      <c r="M111" s="103" t="n"/>
      <c r="N111" s="103" t="n"/>
      <c r="O111" s="104" t="n"/>
      <c r="P111" s="120">
        <f>$P$98/14</f>
        <v/>
      </c>
      <c r="Q111" s="103" t="n"/>
      <c r="R111" s="103" t="n"/>
      <c r="S111" s="103" t="n"/>
      <c r="T111" s="103" t="n"/>
      <c r="U111" s="103" t="n"/>
      <c r="V111" s="103" t="n"/>
      <c r="W111" s="104" t="n"/>
      <c r="X111" s="107">
        <f>BU111</f>
        <v/>
      </c>
      <c r="Y111" s="103" t="n"/>
      <c r="Z111" s="103" t="n"/>
      <c r="AA111" s="103" t="n"/>
      <c r="AB111" s="103" t="n"/>
      <c r="AC111" s="103" t="n"/>
      <c r="AD111" s="103" t="n"/>
      <c r="AE111" s="104" t="n"/>
      <c r="AF111" s="107">
        <f>BV111</f>
        <v/>
      </c>
      <c r="AG111" s="103" t="n"/>
      <c r="AH111" s="103" t="n"/>
      <c r="AI111" s="103" t="n"/>
      <c r="AJ111" s="103" t="n"/>
      <c r="AK111" s="103" t="n"/>
      <c r="AL111" s="103" t="n"/>
      <c r="AM111" s="104" t="n"/>
      <c r="AN111" s="116">
        <f>AF111/X111*100</f>
        <v/>
      </c>
      <c r="AO111" s="103" t="n"/>
      <c r="AP111" s="103" t="n"/>
      <c r="AQ111" s="103" t="n"/>
      <c r="AR111" s="103" t="n"/>
      <c r="AS111" s="103" t="n"/>
      <c r="AT111" s="103" t="n"/>
      <c r="AU111" s="104" t="n"/>
      <c r="AV111" s="107">
        <f>IF(P111=0, ,P111/X111*1000)</f>
        <v/>
      </c>
      <c r="AW111" s="103" t="n"/>
      <c r="AX111" s="103" t="n"/>
      <c r="AY111" s="103" t="n"/>
      <c r="AZ111" s="103" t="n"/>
      <c r="BA111" s="103" t="n"/>
      <c r="BB111" s="103" t="n"/>
      <c r="BC111" s="104" t="n"/>
      <c r="BD111" s="107">
        <f>IF(P111=0, ,P111/AF111)</f>
        <v/>
      </c>
      <c r="BE111" s="103" t="n"/>
      <c r="BF111" s="103" t="n"/>
      <c r="BG111" s="103" t="n"/>
      <c r="BH111" s="103" t="n"/>
      <c r="BI111" s="103" t="n"/>
      <c r="BJ111" s="104" t="n"/>
      <c r="BT111" s="33" t="n">
        <v>0</v>
      </c>
      <c r="BU111" s="35" t="n">
        <v>0</v>
      </c>
      <c r="BV111" s="35" t="n">
        <v>0</v>
      </c>
    </row>
    <row r="112" ht="19" customHeight="1" s="100" thickBot="1">
      <c r="C112" s="2" t="n"/>
      <c r="E112" s="118">
        <f>E52</f>
        <v/>
      </c>
      <c r="F112" s="103" t="n"/>
      <c r="G112" s="103" t="n"/>
      <c r="H112" s="103" t="n"/>
      <c r="I112" s="103" t="n"/>
      <c r="J112" s="103" t="n"/>
      <c r="K112" s="104" t="n"/>
      <c r="L112" s="119">
        <f>L52</f>
        <v/>
      </c>
      <c r="M112" s="103" t="n"/>
      <c r="N112" s="103" t="n"/>
      <c r="O112" s="104" t="n"/>
      <c r="P112" s="120">
        <f>$P$98/14</f>
        <v/>
      </c>
      <c r="Q112" s="103" t="n"/>
      <c r="R112" s="103" t="n"/>
      <c r="S112" s="103" t="n"/>
      <c r="T112" s="103" t="n"/>
      <c r="U112" s="103" t="n"/>
      <c r="V112" s="103" t="n"/>
      <c r="W112" s="104" t="n"/>
      <c r="X112" s="107">
        <f>BU112</f>
        <v/>
      </c>
      <c r="Y112" s="103" t="n"/>
      <c r="Z112" s="103" t="n"/>
      <c r="AA112" s="103" t="n"/>
      <c r="AB112" s="103" t="n"/>
      <c r="AC112" s="103" t="n"/>
      <c r="AD112" s="103" t="n"/>
      <c r="AE112" s="104" t="n"/>
      <c r="AF112" s="107">
        <f>BV112</f>
        <v/>
      </c>
      <c r="AG112" s="103" t="n"/>
      <c r="AH112" s="103" t="n"/>
      <c r="AI112" s="103" t="n"/>
      <c r="AJ112" s="103" t="n"/>
      <c r="AK112" s="103" t="n"/>
      <c r="AL112" s="103" t="n"/>
      <c r="AM112" s="104" t="n"/>
      <c r="AN112" s="116">
        <f>AF112/X112*100</f>
        <v/>
      </c>
      <c r="AO112" s="103" t="n"/>
      <c r="AP112" s="103" t="n"/>
      <c r="AQ112" s="103" t="n"/>
      <c r="AR112" s="103" t="n"/>
      <c r="AS112" s="103" t="n"/>
      <c r="AT112" s="103" t="n"/>
      <c r="AU112" s="104" t="n"/>
      <c r="AV112" s="107">
        <f>IF(P112=0, ,P112/X112*1000)</f>
        <v/>
      </c>
      <c r="AW112" s="103" t="n"/>
      <c r="AX112" s="103" t="n"/>
      <c r="AY112" s="103" t="n"/>
      <c r="AZ112" s="103" t="n"/>
      <c r="BA112" s="103" t="n"/>
      <c r="BB112" s="103" t="n"/>
      <c r="BC112" s="104" t="n"/>
      <c r="BD112" s="107">
        <f>IF(P112=0, ,P112/AF112)</f>
        <v/>
      </c>
      <c r="BE112" s="103" t="n"/>
      <c r="BF112" s="103" t="n"/>
      <c r="BG112" s="103" t="n"/>
      <c r="BH112" s="103" t="n"/>
      <c r="BI112" s="103" t="n"/>
      <c r="BJ112" s="104" t="n"/>
      <c r="BT112" s="33" t="n">
        <v>0</v>
      </c>
      <c r="BU112" s="35" t="n">
        <v>0</v>
      </c>
      <c r="BV112" s="29" t="n">
        <v>0</v>
      </c>
    </row>
    <row r="113" ht="15" customHeight="1" s="100">
      <c r="C113" s="2" t="n"/>
    </row>
    <row r="114" ht="22" customHeight="1" s="100">
      <c r="C114" s="2" t="n"/>
      <c r="E114" s="3" t="inlineStr">
        <is>
          <t>④ 앱 하단 배너</t>
        </is>
      </c>
      <c r="BJ114" s="32" t="inlineStr">
        <is>
          <t>(단위 : 원, 건, %)</t>
        </is>
      </c>
    </row>
    <row r="115" ht="10" customHeight="1" s="100">
      <c r="C115" s="2" t="n"/>
    </row>
    <row r="116" ht="22" customHeight="1" s="100" thickBot="1">
      <c r="C116" s="2" t="n"/>
      <c r="E116" s="64" t="inlineStr">
        <is>
          <t>구 분</t>
        </is>
      </c>
      <c r="F116" s="103" t="n"/>
      <c r="G116" s="103" t="n"/>
      <c r="H116" s="103" t="n"/>
      <c r="I116" s="103" t="n"/>
      <c r="J116" s="103" t="n"/>
      <c r="K116" s="103" t="n"/>
      <c r="L116" s="103" t="n"/>
      <c r="M116" s="103" t="n"/>
      <c r="N116" s="103" t="n"/>
      <c r="O116" s="104" t="n"/>
      <c r="P116" s="64" t="inlineStr">
        <is>
          <t>집행 금액</t>
        </is>
      </c>
      <c r="Q116" s="103" t="n"/>
      <c r="R116" s="103" t="n"/>
      <c r="S116" s="103" t="n"/>
      <c r="T116" s="103" t="n"/>
      <c r="U116" s="103" t="n"/>
      <c r="V116" s="103" t="n"/>
      <c r="W116" s="104" t="n"/>
      <c r="X116" s="64" t="inlineStr">
        <is>
          <t>Imps</t>
        </is>
      </c>
      <c r="Y116" s="103" t="n"/>
      <c r="Z116" s="103" t="n"/>
      <c r="AA116" s="103" t="n"/>
      <c r="AB116" s="103" t="n"/>
      <c r="AC116" s="103" t="n"/>
      <c r="AD116" s="103" t="n"/>
      <c r="AE116" s="104" t="n"/>
      <c r="AF116" s="64" t="inlineStr">
        <is>
          <t>Click</t>
        </is>
      </c>
      <c r="AG116" s="103" t="n"/>
      <c r="AH116" s="103" t="n"/>
      <c r="AI116" s="103" t="n"/>
      <c r="AJ116" s="103" t="n"/>
      <c r="AK116" s="103" t="n"/>
      <c r="AL116" s="103" t="n"/>
      <c r="AM116" s="104" t="n"/>
      <c r="AN116" s="64" t="inlineStr">
        <is>
          <t>CTR</t>
        </is>
      </c>
      <c r="AO116" s="103" t="n"/>
      <c r="AP116" s="103" t="n"/>
      <c r="AQ116" s="103" t="n"/>
      <c r="AR116" s="103" t="n"/>
      <c r="AS116" s="103" t="n"/>
      <c r="AT116" s="103" t="n"/>
      <c r="AU116" s="104" t="n"/>
      <c r="AV116" s="64" t="inlineStr">
        <is>
          <t>CPM</t>
        </is>
      </c>
      <c r="AW116" s="103" t="n"/>
      <c r="AX116" s="103" t="n"/>
      <c r="AY116" s="103" t="n"/>
      <c r="AZ116" s="103" t="n"/>
      <c r="BA116" s="103" t="n"/>
      <c r="BB116" s="103" t="n"/>
      <c r="BC116" s="104" t="n"/>
      <c r="BD116" s="64" t="inlineStr">
        <is>
          <t>CPC</t>
        </is>
      </c>
      <c r="BE116" s="103" t="n"/>
      <c r="BF116" s="103" t="n"/>
      <c r="BG116" s="103" t="n"/>
      <c r="BH116" s="103" t="n"/>
      <c r="BI116" s="103" t="n"/>
      <c r="BJ116" s="104" t="n"/>
    </row>
    <row r="117" ht="22" customHeight="1" s="100" thickBot="1">
      <c r="C117" s="2" t="n"/>
      <c r="E117" s="60" t="inlineStr">
        <is>
          <t>Total</t>
        </is>
      </c>
      <c r="F117" s="103" t="n"/>
      <c r="G117" s="103" t="n"/>
      <c r="H117" s="103" t="n"/>
      <c r="I117" s="103" t="n"/>
      <c r="J117" s="103" t="n"/>
      <c r="K117" s="103" t="n"/>
      <c r="L117" s="103" t="n"/>
      <c r="M117" s="103" t="n"/>
      <c r="N117" s="103" t="n"/>
      <c r="O117" s="104" t="n"/>
      <c r="P117" s="110">
        <f>P32</f>
        <v/>
      </c>
      <c r="Q117" s="103" t="n"/>
      <c r="R117" s="103" t="n"/>
      <c r="S117" s="103" t="n"/>
      <c r="T117" s="103" t="n"/>
      <c r="U117" s="103" t="n"/>
      <c r="V117" s="103" t="n"/>
      <c r="W117" s="104" t="n"/>
      <c r="X117" s="110">
        <f>SUM(X118:AE131)</f>
        <v/>
      </c>
      <c r="Y117" s="103" t="n"/>
      <c r="Z117" s="103" t="n"/>
      <c r="AA117" s="103" t="n"/>
      <c r="AB117" s="103" t="n"/>
      <c r="AC117" s="103" t="n"/>
      <c r="AD117" s="103" t="n"/>
      <c r="AE117" s="104" t="n"/>
      <c r="AF117" s="110">
        <f>SUM(AF118:AM131)</f>
        <v/>
      </c>
      <c r="AG117" s="103" t="n"/>
      <c r="AH117" s="103" t="n"/>
      <c r="AI117" s="103" t="n"/>
      <c r="AJ117" s="103" t="n"/>
      <c r="AK117" s="103" t="n"/>
      <c r="AL117" s="103" t="n"/>
      <c r="AM117" s="104" t="n"/>
      <c r="AN117" s="111">
        <f>AF117/X117*100</f>
        <v/>
      </c>
      <c r="AO117" s="103" t="n"/>
      <c r="AP117" s="103" t="n"/>
      <c r="AQ117" s="103" t="n"/>
      <c r="AR117" s="103" t="n"/>
      <c r="AS117" s="103" t="n"/>
      <c r="AT117" s="103" t="n"/>
      <c r="AU117" s="104" t="n"/>
      <c r="AV117" s="110">
        <f>IF(P117=0, ,P117/X117*1000)</f>
        <v/>
      </c>
      <c r="AW117" s="103" t="n"/>
      <c r="AX117" s="103" t="n"/>
      <c r="AY117" s="103" t="n"/>
      <c r="AZ117" s="103" t="n"/>
      <c r="BA117" s="103" t="n"/>
      <c r="BB117" s="103" t="n"/>
      <c r="BC117" s="104" t="n"/>
      <c r="BD117" s="110">
        <f>IF(P117=0, ,P117/AF117)</f>
        <v/>
      </c>
      <c r="BE117" s="103" t="n"/>
      <c r="BF117" s="103" t="n"/>
      <c r="BG117" s="103" t="n"/>
      <c r="BH117" s="103" t="n"/>
      <c r="BI117" s="103" t="n"/>
      <c r="BJ117" s="104" t="n"/>
      <c r="BT117" s="21" t="n"/>
      <c r="BU117" s="21" t="n"/>
      <c r="BV117" s="21" t="n"/>
    </row>
    <row r="118" ht="19" customHeight="1" s="100" thickBot="1">
      <c r="C118" s="2" t="n"/>
      <c r="E118" s="118">
        <f>E39</f>
        <v/>
      </c>
      <c r="F118" s="103" t="n"/>
      <c r="G118" s="103" t="n"/>
      <c r="H118" s="103" t="n"/>
      <c r="I118" s="103" t="n"/>
      <c r="J118" s="103" t="n"/>
      <c r="K118" s="104" t="n"/>
      <c r="L118" s="119">
        <f>L39</f>
        <v/>
      </c>
      <c r="M118" s="103" t="n"/>
      <c r="N118" s="103" t="n"/>
      <c r="O118" s="104" t="n"/>
      <c r="P118" s="120">
        <f>$P$117/14</f>
        <v/>
      </c>
      <c r="Q118" s="103" t="n"/>
      <c r="R118" s="103" t="n"/>
      <c r="S118" s="103" t="n"/>
      <c r="T118" s="103" t="n"/>
      <c r="U118" s="103" t="n"/>
      <c r="V118" s="103" t="n"/>
      <c r="W118" s="104" t="n"/>
      <c r="X118" s="107">
        <f>BU118</f>
        <v/>
      </c>
      <c r="Y118" s="103" t="n"/>
      <c r="Z118" s="103" t="n"/>
      <c r="AA118" s="103" t="n"/>
      <c r="AB118" s="103" t="n"/>
      <c r="AC118" s="103" t="n"/>
      <c r="AD118" s="103" t="n"/>
      <c r="AE118" s="104" t="n"/>
      <c r="AF118" s="107">
        <f>BV118</f>
        <v/>
      </c>
      <c r="AG118" s="103" t="n"/>
      <c r="AH118" s="103" t="n"/>
      <c r="AI118" s="103" t="n"/>
      <c r="AJ118" s="103" t="n"/>
      <c r="AK118" s="103" t="n"/>
      <c r="AL118" s="103" t="n"/>
      <c r="AM118" s="104" t="n"/>
      <c r="AN118" s="116">
        <f>AF118/X118*100</f>
        <v/>
      </c>
      <c r="AO118" s="103" t="n"/>
      <c r="AP118" s="103" t="n"/>
      <c r="AQ118" s="103" t="n"/>
      <c r="AR118" s="103" t="n"/>
      <c r="AS118" s="103" t="n"/>
      <c r="AT118" s="103" t="n"/>
      <c r="AU118" s="104" t="n"/>
      <c r="AV118" s="107">
        <f>IF(P118=0, ,P118/X118*1000)</f>
        <v/>
      </c>
      <c r="AW118" s="103" t="n"/>
      <c r="AX118" s="103" t="n"/>
      <c r="AY118" s="103" t="n"/>
      <c r="AZ118" s="103" t="n"/>
      <c r="BA118" s="103" t="n"/>
      <c r="BB118" s="103" t="n"/>
      <c r="BC118" s="104" t="n"/>
      <c r="BD118" s="107">
        <f>IF(P118=0, ,P118/AF118)</f>
        <v/>
      </c>
      <c r="BE118" s="103" t="n"/>
      <c r="BF118" s="103" t="n"/>
      <c r="BG118" s="103" t="n"/>
      <c r="BH118" s="103" t="n"/>
      <c r="BI118" s="103" t="n"/>
      <c r="BJ118" s="104" t="n"/>
      <c r="BT118" s="33" t="n">
        <v>0</v>
      </c>
      <c r="BU118" s="40" t="n">
        <v>0</v>
      </c>
      <c r="BV118" s="33" t="n">
        <v>0</v>
      </c>
    </row>
    <row r="119" ht="19" customHeight="1" s="100" thickBot="1">
      <c r="C119" s="2" t="n"/>
      <c r="E119" s="118">
        <f>E40</f>
        <v/>
      </c>
      <c r="F119" s="103" t="n"/>
      <c r="G119" s="103" t="n"/>
      <c r="H119" s="103" t="n"/>
      <c r="I119" s="103" t="n"/>
      <c r="J119" s="103" t="n"/>
      <c r="K119" s="104" t="n"/>
      <c r="L119" s="119">
        <f>L40</f>
        <v/>
      </c>
      <c r="M119" s="103" t="n"/>
      <c r="N119" s="103" t="n"/>
      <c r="O119" s="104" t="n"/>
      <c r="P119" s="120">
        <f>$P$117/14</f>
        <v/>
      </c>
      <c r="Q119" s="103" t="n"/>
      <c r="R119" s="103" t="n"/>
      <c r="S119" s="103" t="n"/>
      <c r="T119" s="103" t="n"/>
      <c r="U119" s="103" t="n"/>
      <c r="V119" s="103" t="n"/>
      <c r="W119" s="104" t="n"/>
      <c r="X119" s="107">
        <f>BU119</f>
        <v/>
      </c>
      <c r="Y119" s="103" t="n"/>
      <c r="Z119" s="103" t="n"/>
      <c r="AA119" s="103" t="n"/>
      <c r="AB119" s="103" t="n"/>
      <c r="AC119" s="103" t="n"/>
      <c r="AD119" s="103" t="n"/>
      <c r="AE119" s="104" t="n"/>
      <c r="AF119" s="107">
        <f>BV119</f>
        <v/>
      </c>
      <c r="AG119" s="103" t="n"/>
      <c r="AH119" s="103" t="n"/>
      <c r="AI119" s="103" t="n"/>
      <c r="AJ119" s="103" t="n"/>
      <c r="AK119" s="103" t="n"/>
      <c r="AL119" s="103" t="n"/>
      <c r="AM119" s="104" t="n"/>
      <c r="AN119" s="116">
        <f>AF119/X119*100</f>
        <v/>
      </c>
      <c r="AO119" s="103" t="n"/>
      <c r="AP119" s="103" t="n"/>
      <c r="AQ119" s="103" t="n"/>
      <c r="AR119" s="103" t="n"/>
      <c r="AS119" s="103" t="n"/>
      <c r="AT119" s="103" t="n"/>
      <c r="AU119" s="104" t="n"/>
      <c r="AV119" s="107">
        <f>IF(P119=0, ,P119/X119*1000)</f>
        <v/>
      </c>
      <c r="AW119" s="103" t="n"/>
      <c r="AX119" s="103" t="n"/>
      <c r="AY119" s="103" t="n"/>
      <c r="AZ119" s="103" t="n"/>
      <c r="BA119" s="103" t="n"/>
      <c r="BB119" s="103" t="n"/>
      <c r="BC119" s="104" t="n"/>
      <c r="BD119" s="107">
        <f>IF(P119=0, ,P119/AF119)</f>
        <v/>
      </c>
      <c r="BE119" s="103" t="n"/>
      <c r="BF119" s="103" t="n"/>
      <c r="BG119" s="103" t="n"/>
      <c r="BH119" s="103" t="n"/>
      <c r="BI119" s="103" t="n"/>
      <c r="BJ119" s="104" t="n"/>
      <c r="BT119" s="33" t="n">
        <v>0</v>
      </c>
      <c r="BU119" s="40" t="n">
        <v>0</v>
      </c>
      <c r="BV119" s="33" t="n">
        <v>0</v>
      </c>
    </row>
    <row r="120" ht="19" customHeight="1" s="100" thickBot="1">
      <c r="C120" s="2" t="n"/>
      <c r="E120" s="118">
        <f>E41</f>
        <v/>
      </c>
      <c r="F120" s="103" t="n"/>
      <c r="G120" s="103" t="n"/>
      <c r="H120" s="103" t="n"/>
      <c r="I120" s="103" t="n"/>
      <c r="J120" s="103" t="n"/>
      <c r="K120" s="104" t="n"/>
      <c r="L120" s="119">
        <f>L41</f>
        <v/>
      </c>
      <c r="M120" s="103" t="n"/>
      <c r="N120" s="103" t="n"/>
      <c r="O120" s="104" t="n"/>
      <c r="P120" s="120">
        <f>$P$117/14</f>
        <v/>
      </c>
      <c r="Q120" s="103" t="n"/>
      <c r="R120" s="103" t="n"/>
      <c r="S120" s="103" t="n"/>
      <c r="T120" s="103" t="n"/>
      <c r="U120" s="103" t="n"/>
      <c r="V120" s="103" t="n"/>
      <c r="W120" s="104" t="n"/>
      <c r="X120" s="107">
        <f>BU120</f>
        <v/>
      </c>
      <c r="Y120" s="103" t="n"/>
      <c r="Z120" s="103" t="n"/>
      <c r="AA120" s="103" t="n"/>
      <c r="AB120" s="103" t="n"/>
      <c r="AC120" s="103" t="n"/>
      <c r="AD120" s="103" t="n"/>
      <c r="AE120" s="104" t="n"/>
      <c r="AF120" s="107">
        <f>BV120</f>
        <v/>
      </c>
      <c r="AG120" s="103" t="n"/>
      <c r="AH120" s="103" t="n"/>
      <c r="AI120" s="103" t="n"/>
      <c r="AJ120" s="103" t="n"/>
      <c r="AK120" s="103" t="n"/>
      <c r="AL120" s="103" t="n"/>
      <c r="AM120" s="104" t="n"/>
      <c r="AN120" s="116">
        <f>AF120/X120*100</f>
        <v/>
      </c>
      <c r="AO120" s="103" t="n"/>
      <c r="AP120" s="103" t="n"/>
      <c r="AQ120" s="103" t="n"/>
      <c r="AR120" s="103" t="n"/>
      <c r="AS120" s="103" t="n"/>
      <c r="AT120" s="103" t="n"/>
      <c r="AU120" s="104" t="n"/>
      <c r="AV120" s="107">
        <f>IF(P120=0, ,P120/X120*1000)</f>
        <v/>
      </c>
      <c r="AW120" s="103" t="n"/>
      <c r="AX120" s="103" t="n"/>
      <c r="AY120" s="103" t="n"/>
      <c r="AZ120" s="103" t="n"/>
      <c r="BA120" s="103" t="n"/>
      <c r="BB120" s="103" t="n"/>
      <c r="BC120" s="104" t="n"/>
      <c r="BD120" s="107">
        <f>IF(P120=0, ,P120/AF120)</f>
        <v/>
      </c>
      <c r="BE120" s="103" t="n"/>
      <c r="BF120" s="103" t="n"/>
      <c r="BG120" s="103" t="n"/>
      <c r="BH120" s="103" t="n"/>
      <c r="BI120" s="103" t="n"/>
      <c r="BJ120" s="104" t="n"/>
      <c r="BT120" s="33" t="n">
        <v>0</v>
      </c>
      <c r="BU120" s="40" t="n">
        <v>0</v>
      </c>
      <c r="BV120" s="33" t="n">
        <v>0</v>
      </c>
    </row>
    <row r="121" ht="19" customHeight="1" s="100" thickBot="1">
      <c r="C121" s="2" t="n"/>
      <c r="E121" s="118">
        <f>E42</f>
        <v/>
      </c>
      <c r="F121" s="103" t="n"/>
      <c r="G121" s="103" t="n"/>
      <c r="H121" s="103" t="n"/>
      <c r="I121" s="103" t="n"/>
      <c r="J121" s="103" t="n"/>
      <c r="K121" s="104" t="n"/>
      <c r="L121" s="119">
        <f>L42</f>
        <v/>
      </c>
      <c r="M121" s="103" t="n"/>
      <c r="N121" s="103" t="n"/>
      <c r="O121" s="104" t="n"/>
      <c r="P121" s="120">
        <f>$P$117/14</f>
        <v/>
      </c>
      <c r="Q121" s="103" t="n"/>
      <c r="R121" s="103" t="n"/>
      <c r="S121" s="103" t="n"/>
      <c r="T121" s="103" t="n"/>
      <c r="U121" s="103" t="n"/>
      <c r="V121" s="103" t="n"/>
      <c r="W121" s="104" t="n"/>
      <c r="X121" s="107">
        <f>BU121</f>
        <v/>
      </c>
      <c r="Y121" s="103" t="n"/>
      <c r="Z121" s="103" t="n"/>
      <c r="AA121" s="103" t="n"/>
      <c r="AB121" s="103" t="n"/>
      <c r="AC121" s="103" t="n"/>
      <c r="AD121" s="103" t="n"/>
      <c r="AE121" s="104" t="n"/>
      <c r="AF121" s="107">
        <f>BV121</f>
        <v/>
      </c>
      <c r="AG121" s="103" t="n"/>
      <c r="AH121" s="103" t="n"/>
      <c r="AI121" s="103" t="n"/>
      <c r="AJ121" s="103" t="n"/>
      <c r="AK121" s="103" t="n"/>
      <c r="AL121" s="103" t="n"/>
      <c r="AM121" s="104" t="n"/>
      <c r="AN121" s="116">
        <f>AF121/X121*100</f>
        <v/>
      </c>
      <c r="AO121" s="103" t="n"/>
      <c r="AP121" s="103" t="n"/>
      <c r="AQ121" s="103" t="n"/>
      <c r="AR121" s="103" t="n"/>
      <c r="AS121" s="103" t="n"/>
      <c r="AT121" s="103" t="n"/>
      <c r="AU121" s="104" t="n"/>
      <c r="AV121" s="107">
        <f>IF(P121=0, ,P121/X121*1000)</f>
        <v/>
      </c>
      <c r="AW121" s="103" t="n"/>
      <c r="AX121" s="103" t="n"/>
      <c r="AY121" s="103" t="n"/>
      <c r="AZ121" s="103" t="n"/>
      <c r="BA121" s="103" t="n"/>
      <c r="BB121" s="103" t="n"/>
      <c r="BC121" s="104" t="n"/>
      <c r="BD121" s="107">
        <f>IF(P121=0, ,P121/AF121)</f>
        <v/>
      </c>
      <c r="BE121" s="103" t="n"/>
      <c r="BF121" s="103" t="n"/>
      <c r="BG121" s="103" t="n"/>
      <c r="BH121" s="103" t="n"/>
      <c r="BI121" s="103" t="n"/>
      <c r="BJ121" s="104" t="n"/>
      <c r="BT121" s="33" t="n">
        <v>0</v>
      </c>
      <c r="BU121" s="40" t="n">
        <v>0</v>
      </c>
      <c r="BV121" s="33" t="n">
        <v>0</v>
      </c>
    </row>
    <row r="122" ht="19" customHeight="1" s="100" thickBot="1">
      <c r="C122" s="2" t="n"/>
      <c r="E122" s="118">
        <f>E43</f>
        <v/>
      </c>
      <c r="F122" s="103" t="n"/>
      <c r="G122" s="103" t="n"/>
      <c r="H122" s="103" t="n"/>
      <c r="I122" s="103" t="n"/>
      <c r="J122" s="103" t="n"/>
      <c r="K122" s="104" t="n"/>
      <c r="L122" s="119">
        <f>L43</f>
        <v/>
      </c>
      <c r="M122" s="103" t="n"/>
      <c r="N122" s="103" t="n"/>
      <c r="O122" s="104" t="n"/>
      <c r="P122" s="120">
        <f>$P$117/14</f>
        <v/>
      </c>
      <c r="Q122" s="103" t="n"/>
      <c r="R122" s="103" t="n"/>
      <c r="S122" s="103" t="n"/>
      <c r="T122" s="103" t="n"/>
      <c r="U122" s="103" t="n"/>
      <c r="V122" s="103" t="n"/>
      <c r="W122" s="104" t="n"/>
      <c r="X122" s="107">
        <f>BU122</f>
        <v/>
      </c>
      <c r="Y122" s="103" t="n"/>
      <c r="Z122" s="103" t="n"/>
      <c r="AA122" s="103" t="n"/>
      <c r="AB122" s="103" t="n"/>
      <c r="AC122" s="103" t="n"/>
      <c r="AD122" s="103" t="n"/>
      <c r="AE122" s="104" t="n"/>
      <c r="AF122" s="107">
        <f>BV122</f>
        <v/>
      </c>
      <c r="AG122" s="103" t="n"/>
      <c r="AH122" s="103" t="n"/>
      <c r="AI122" s="103" t="n"/>
      <c r="AJ122" s="103" t="n"/>
      <c r="AK122" s="103" t="n"/>
      <c r="AL122" s="103" t="n"/>
      <c r="AM122" s="104" t="n"/>
      <c r="AN122" s="116">
        <f>AF122/X122*100</f>
        <v/>
      </c>
      <c r="AO122" s="103" t="n"/>
      <c r="AP122" s="103" t="n"/>
      <c r="AQ122" s="103" t="n"/>
      <c r="AR122" s="103" t="n"/>
      <c r="AS122" s="103" t="n"/>
      <c r="AT122" s="103" t="n"/>
      <c r="AU122" s="104" t="n"/>
      <c r="AV122" s="107">
        <f>IF(P122=0, ,P122/X122*1000)</f>
        <v/>
      </c>
      <c r="AW122" s="103" t="n"/>
      <c r="AX122" s="103" t="n"/>
      <c r="AY122" s="103" t="n"/>
      <c r="AZ122" s="103" t="n"/>
      <c r="BA122" s="103" t="n"/>
      <c r="BB122" s="103" t="n"/>
      <c r="BC122" s="104" t="n"/>
      <c r="BD122" s="107">
        <f>IF(P122=0, ,P122/AF122)</f>
        <v/>
      </c>
      <c r="BE122" s="103" t="n"/>
      <c r="BF122" s="103" t="n"/>
      <c r="BG122" s="103" t="n"/>
      <c r="BH122" s="103" t="n"/>
      <c r="BI122" s="103" t="n"/>
      <c r="BJ122" s="104" t="n"/>
      <c r="BT122" s="33" t="n">
        <v>0</v>
      </c>
      <c r="BU122" s="40" t="n">
        <v>0</v>
      </c>
      <c r="BV122" s="33" t="n">
        <v>0</v>
      </c>
    </row>
    <row r="123" ht="19" customHeight="1" s="100" thickBot="1">
      <c r="C123" s="2" t="n"/>
      <c r="E123" s="118">
        <f>E44</f>
        <v/>
      </c>
      <c r="F123" s="103" t="n"/>
      <c r="G123" s="103" t="n"/>
      <c r="H123" s="103" t="n"/>
      <c r="I123" s="103" t="n"/>
      <c r="J123" s="103" t="n"/>
      <c r="K123" s="104" t="n"/>
      <c r="L123" s="119">
        <f>L44</f>
        <v/>
      </c>
      <c r="M123" s="103" t="n"/>
      <c r="N123" s="103" t="n"/>
      <c r="O123" s="104" t="n"/>
      <c r="P123" s="120">
        <f>$P$117/14</f>
        <v/>
      </c>
      <c r="Q123" s="103" t="n"/>
      <c r="R123" s="103" t="n"/>
      <c r="S123" s="103" t="n"/>
      <c r="T123" s="103" t="n"/>
      <c r="U123" s="103" t="n"/>
      <c r="V123" s="103" t="n"/>
      <c r="W123" s="104" t="n"/>
      <c r="X123" s="107">
        <f>BU123</f>
        <v/>
      </c>
      <c r="Y123" s="103" t="n"/>
      <c r="Z123" s="103" t="n"/>
      <c r="AA123" s="103" t="n"/>
      <c r="AB123" s="103" t="n"/>
      <c r="AC123" s="103" t="n"/>
      <c r="AD123" s="103" t="n"/>
      <c r="AE123" s="104" t="n"/>
      <c r="AF123" s="107">
        <f>BV123</f>
        <v/>
      </c>
      <c r="AG123" s="103" t="n"/>
      <c r="AH123" s="103" t="n"/>
      <c r="AI123" s="103" t="n"/>
      <c r="AJ123" s="103" t="n"/>
      <c r="AK123" s="103" t="n"/>
      <c r="AL123" s="103" t="n"/>
      <c r="AM123" s="104" t="n"/>
      <c r="AN123" s="116">
        <f>AF123/X123*100</f>
        <v/>
      </c>
      <c r="AO123" s="103" t="n"/>
      <c r="AP123" s="103" t="n"/>
      <c r="AQ123" s="103" t="n"/>
      <c r="AR123" s="103" t="n"/>
      <c r="AS123" s="103" t="n"/>
      <c r="AT123" s="103" t="n"/>
      <c r="AU123" s="104" t="n"/>
      <c r="AV123" s="107">
        <f>IF(P123=0, ,P123/X123*1000)</f>
        <v/>
      </c>
      <c r="AW123" s="103" t="n"/>
      <c r="AX123" s="103" t="n"/>
      <c r="AY123" s="103" t="n"/>
      <c r="AZ123" s="103" t="n"/>
      <c r="BA123" s="103" t="n"/>
      <c r="BB123" s="103" t="n"/>
      <c r="BC123" s="104" t="n"/>
      <c r="BD123" s="107">
        <f>IF(P123=0, ,P123/AF123)</f>
        <v/>
      </c>
      <c r="BE123" s="103" t="n"/>
      <c r="BF123" s="103" t="n"/>
      <c r="BG123" s="103" t="n"/>
      <c r="BH123" s="103" t="n"/>
      <c r="BI123" s="103" t="n"/>
      <c r="BJ123" s="104" t="n"/>
      <c r="BT123" s="33" t="n">
        <v>0</v>
      </c>
      <c r="BU123" s="40" t="n">
        <v>0</v>
      </c>
      <c r="BV123" s="33" t="n">
        <v>0</v>
      </c>
    </row>
    <row r="124" ht="19" customHeight="1" s="100" thickBot="1">
      <c r="C124" s="2" t="n"/>
      <c r="E124" s="118">
        <f>E45</f>
        <v/>
      </c>
      <c r="F124" s="103" t="n"/>
      <c r="G124" s="103" t="n"/>
      <c r="H124" s="103" t="n"/>
      <c r="I124" s="103" t="n"/>
      <c r="J124" s="103" t="n"/>
      <c r="K124" s="104" t="n"/>
      <c r="L124" s="119">
        <f>L45</f>
        <v/>
      </c>
      <c r="M124" s="103" t="n"/>
      <c r="N124" s="103" t="n"/>
      <c r="O124" s="104" t="n"/>
      <c r="P124" s="120">
        <f>$P$117/14</f>
        <v/>
      </c>
      <c r="Q124" s="103" t="n"/>
      <c r="R124" s="103" t="n"/>
      <c r="S124" s="103" t="n"/>
      <c r="T124" s="103" t="n"/>
      <c r="U124" s="103" t="n"/>
      <c r="V124" s="103" t="n"/>
      <c r="W124" s="104" t="n"/>
      <c r="X124" s="107">
        <f>BU124</f>
        <v/>
      </c>
      <c r="Y124" s="103" t="n"/>
      <c r="Z124" s="103" t="n"/>
      <c r="AA124" s="103" t="n"/>
      <c r="AB124" s="103" t="n"/>
      <c r="AC124" s="103" t="n"/>
      <c r="AD124" s="103" t="n"/>
      <c r="AE124" s="104" t="n"/>
      <c r="AF124" s="107">
        <f>BV124</f>
        <v/>
      </c>
      <c r="AG124" s="103" t="n"/>
      <c r="AH124" s="103" t="n"/>
      <c r="AI124" s="103" t="n"/>
      <c r="AJ124" s="103" t="n"/>
      <c r="AK124" s="103" t="n"/>
      <c r="AL124" s="103" t="n"/>
      <c r="AM124" s="104" t="n"/>
      <c r="AN124" s="116">
        <f>AF124/X124*100</f>
        <v/>
      </c>
      <c r="AO124" s="103" t="n"/>
      <c r="AP124" s="103" t="n"/>
      <c r="AQ124" s="103" t="n"/>
      <c r="AR124" s="103" t="n"/>
      <c r="AS124" s="103" t="n"/>
      <c r="AT124" s="103" t="n"/>
      <c r="AU124" s="104" t="n"/>
      <c r="AV124" s="107">
        <f>IF(P124=0, ,P124/X124*1000)</f>
        <v/>
      </c>
      <c r="AW124" s="103" t="n"/>
      <c r="AX124" s="103" t="n"/>
      <c r="AY124" s="103" t="n"/>
      <c r="AZ124" s="103" t="n"/>
      <c r="BA124" s="103" t="n"/>
      <c r="BB124" s="103" t="n"/>
      <c r="BC124" s="104" t="n"/>
      <c r="BD124" s="107">
        <f>IF(P124=0, ,P124/AF124)</f>
        <v/>
      </c>
      <c r="BE124" s="103" t="n"/>
      <c r="BF124" s="103" t="n"/>
      <c r="BG124" s="103" t="n"/>
      <c r="BH124" s="103" t="n"/>
      <c r="BI124" s="103" t="n"/>
      <c r="BJ124" s="104" t="n"/>
      <c r="BT124" s="33" t="n">
        <v>0</v>
      </c>
      <c r="BU124" s="40" t="n">
        <v>0</v>
      </c>
      <c r="BV124" s="33" t="n">
        <v>0</v>
      </c>
    </row>
    <row r="125" ht="19" customHeight="1" s="100" thickBot="1">
      <c r="C125" s="2" t="n"/>
      <c r="E125" s="118">
        <f>E46</f>
        <v/>
      </c>
      <c r="F125" s="103" t="n"/>
      <c r="G125" s="103" t="n"/>
      <c r="H125" s="103" t="n"/>
      <c r="I125" s="103" t="n"/>
      <c r="J125" s="103" t="n"/>
      <c r="K125" s="104" t="n"/>
      <c r="L125" s="119">
        <f>L46</f>
        <v/>
      </c>
      <c r="M125" s="103" t="n"/>
      <c r="N125" s="103" t="n"/>
      <c r="O125" s="104" t="n"/>
      <c r="P125" s="120">
        <f>$P$117/14</f>
        <v/>
      </c>
      <c r="Q125" s="103" t="n"/>
      <c r="R125" s="103" t="n"/>
      <c r="S125" s="103" t="n"/>
      <c r="T125" s="103" t="n"/>
      <c r="U125" s="103" t="n"/>
      <c r="V125" s="103" t="n"/>
      <c r="W125" s="104" t="n"/>
      <c r="X125" s="107">
        <f>BU125</f>
        <v/>
      </c>
      <c r="Y125" s="103" t="n"/>
      <c r="Z125" s="103" t="n"/>
      <c r="AA125" s="103" t="n"/>
      <c r="AB125" s="103" t="n"/>
      <c r="AC125" s="103" t="n"/>
      <c r="AD125" s="103" t="n"/>
      <c r="AE125" s="104" t="n"/>
      <c r="AF125" s="107">
        <f>BV125</f>
        <v/>
      </c>
      <c r="AG125" s="103" t="n"/>
      <c r="AH125" s="103" t="n"/>
      <c r="AI125" s="103" t="n"/>
      <c r="AJ125" s="103" t="n"/>
      <c r="AK125" s="103" t="n"/>
      <c r="AL125" s="103" t="n"/>
      <c r="AM125" s="104" t="n"/>
      <c r="AN125" s="116">
        <f>AF125/X125*100</f>
        <v/>
      </c>
      <c r="AO125" s="103" t="n"/>
      <c r="AP125" s="103" t="n"/>
      <c r="AQ125" s="103" t="n"/>
      <c r="AR125" s="103" t="n"/>
      <c r="AS125" s="103" t="n"/>
      <c r="AT125" s="103" t="n"/>
      <c r="AU125" s="104" t="n"/>
      <c r="AV125" s="107">
        <f>IF(P125=0, ,P125/X125*1000)</f>
        <v/>
      </c>
      <c r="AW125" s="103" t="n"/>
      <c r="AX125" s="103" t="n"/>
      <c r="AY125" s="103" t="n"/>
      <c r="AZ125" s="103" t="n"/>
      <c r="BA125" s="103" t="n"/>
      <c r="BB125" s="103" t="n"/>
      <c r="BC125" s="104" t="n"/>
      <c r="BD125" s="107">
        <f>IF(P125=0, ,P125/AF125)</f>
        <v/>
      </c>
      <c r="BE125" s="103" t="n"/>
      <c r="BF125" s="103" t="n"/>
      <c r="BG125" s="103" t="n"/>
      <c r="BH125" s="103" t="n"/>
      <c r="BI125" s="103" t="n"/>
      <c r="BJ125" s="104" t="n"/>
      <c r="BT125" s="33" t="n">
        <v>0</v>
      </c>
      <c r="BU125" s="23" t="n">
        <v>0</v>
      </c>
      <c r="BV125" s="21" t="n">
        <v>0</v>
      </c>
    </row>
    <row r="126" ht="19" customHeight="1" s="100" thickBot="1">
      <c r="C126" s="2" t="n"/>
      <c r="E126" s="118">
        <f>E47</f>
        <v/>
      </c>
      <c r="F126" s="103" t="n"/>
      <c r="G126" s="103" t="n"/>
      <c r="H126" s="103" t="n"/>
      <c r="I126" s="103" t="n"/>
      <c r="J126" s="103" t="n"/>
      <c r="K126" s="104" t="n"/>
      <c r="L126" s="119">
        <f>L47</f>
        <v/>
      </c>
      <c r="M126" s="103" t="n"/>
      <c r="N126" s="103" t="n"/>
      <c r="O126" s="104" t="n"/>
      <c r="P126" s="120">
        <f>$P$117/14</f>
        <v/>
      </c>
      <c r="Q126" s="103" t="n"/>
      <c r="R126" s="103" t="n"/>
      <c r="S126" s="103" t="n"/>
      <c r="T126" s="103" t="n"/>
      <c r="U126" s="103" t="n"/>
      <c r="V126" s="103" t="n"/>
      <c r="W126" s="104" t="n"/>
      <c r="X126" s="107">
        <f>BU126</f>
        <v/>
      </c>
      <c r="Y126" s="103" t="n"/>
      <c r="Z126" s="103" t="n"/>
      <c r="AA126" s="103" t="n"/>
      <c r="AB126" s="103" t="n"/>
      <c r="AC126" s="103" t="n"/>
      <c r="AD126" s="103" t="n"/>
      <c r="AE126" s="104" t="n"/>
      <c r="AF126" s="107">
        <f>BV126</f>
        <v/>
      </c>
      <c r="AG126" s="103" t="n"/>
      <c r="AH126" s="103" t="n"/>
      <c r="AI126" s="103" t="n"/>
      <c r="AJ126" s="103" t="n"/>
      <c r="AK126" s="103" t="n"/>
      <c r="AL126" s="103" t="n"/>
      <c r="AM126" s="104" t="n"/>
      <c r="AN126" s="116">
        <f>AF126/X126*100</f>
        <v/>
      </c>
      <c r="AO126" s="103" t="n"/>
      <c r="AP126" s="103" t="n"/>
      <c r="AQ126" s="103" t="n"/>
      <c r="AR126" s="103" t="n"/>
      <c r="AS126" s="103" t="n"/>
      <c r="AT126" s="103" t="n"/>
      <c r="AU126" s="104" t="n"/>
      <c r="AV126" s="107">
        <f>IF(P126=0, ,P126/X126*1000)</f>
        <v/>
      </c>
      <c r="AW126" s="103" t="n"/>
      <c r="AX126" s="103" t="n"/>
      <c r="AY126" s="103" t="n"/>
      <c r="AZ126" s="103" t="n"/>
      <c r="BA126" s="103" t="n"/>
      <c r="BB126" s="103" t="n"/>
      <c r="BC126" s="104" t="n"/>
      <c r="BD126" s="107">
        <f>IF(P126=0, ,P126/AF126)</f>
        <v/>
      </c>
      <c r="BE126" s="103" t="n"/>
      <c r="BF126" s="103" t="n"/>
      <c r="BG126" s="103" t="n"/>
      <c r="BH126" s="103" t="n"/>
      <c r="BI126" s="103" t="n"/>
      <c r="BJ126" s="104" t="n"/>
      <c r="BT126" s="33" t="n">
        <v>0</v>
      </c>
      <c r="BU126" s="28" t="n">
        <v>0</v>
      </c>
      <c r="BV126" s="21" t="n">
        <v>0</v>
      </c>
    </row>
    <row r="127" ht="19" customHeight="1" s="100" thickBot="1">
      <c r="C127" s="2" t="n"/>
      <c r="E127" s="118">
        <f>E48</f>
        <v/>
      </c>
      <c r="F127" s="103" t="n"/>
      <c r="G127" s="103" t="n"/>
      <c r="H127" s="103" t="n"/>
      <c r="I127" s="103" t="n"/>
      <c r="J127" s="103" t="n"/>
      <c r="K127" s="104" t="n"/>
      <c r="L127" s="119">
        <f>L48</f>
        <v/>
      </c>
      <c r="M127" s="103" t="n"/>
      <c r="N127" s="103" t="n"/>
      <c r="O127" s="104" t="n"/>
      <c r="P127" s="120">
        <f>$P$117/14</f>
        <v/>
      </c>
      <c r="Q127" s="103" t="n"/>
      <c r="R127" s="103" t="n"/>
      <c r="S127" s="103" t="n"/>
      <c r="T127" s="103" t="n"/>
      <c r="U127" s="103" t="n"/>
      <c r="V127" s="103" t="n"/>
      <c r="W127" s="104" t="n"/>
      <c r="X127" s="107">
        <f>BU127</f>
        <v/>
      </c>
      <c r="Y127" s="103" t="n"/>
      <c r="Z127" s="103" t="n"/>
      <c r="AA127" s="103" t="n"/>
      <c r="AB127" s="103" t="n"/>
      <c r="AC127" s="103" t="n"/>
      <c r="AD127" s="103" t="n"/>
      <c r="AE127" s="104" t="n"/>
      <c r="AF127" s="107">
        <f>BV127</f>
        <v/>
      </c>
      <c r="AG127" s="103" t="n"/>
      <c r="AH127" s="103" t="n"/>
      <c r="AI127" s="103" t="n"/>
      <c r="AJ127" s="103" t="n"/>
      <c r="AK127" s="103" t="n"/>
      <c r="AL127" s="103" t="n"/>
      <c r="AM127" s="104" t="n"/>
      <c r="AN127" s="116">
        <f>AF127/X127*100</f>
        <v/>
      </c>
      <c r="AO127" s="103" t="n"/>
      <c r="AP127" s="103" t="n"/>
      <c r="AQ127" s="103" t="n"/>
      <c r="AR127" s="103" t="n"/>
      <c r="AS127" s="103" t="n"/>
      <c r="AT127" s="103" t="n"/>
      <c r="AU127" s="104" t="n"/>
      <c r="AV127" s="107">
        <f>IF(P127=0, ,P127/X127*1000)</f>
        <v/>
      </c>
      <c r="AW127" s="103" t="n"/>
      <c r="AX127" s="103" t="n"/>
      <c r="AY127" s="103" t="n"/>
      <c r="AZ127" s="103" t="n"/>
      <c r="BA127" s="103" t="n"/>
      <c r="BB127" s="103" t="n"/>
      <c r="BC127" s="104" t="n"/>
      <c r="BD127" s="107">
        <f>IF(P127=0, ,P127/AF127)</f>
        <v/>
      </c>
      <c r="BE127" s="103" t="n"/>
      <c r="BF127" s="103" t="n"/>
      <c r="BG127" s="103" t="n"/>
      <c r="BH127" s="103" t="n"/>
      <c r="BI127" s="103" t="n"/>
      <c r="BJ127" s="104" t="n"/>
      <c r="BT127" s="33" t="n">
        <v>0</v>
      </c>
      <c r="BU127" s="23" t="n">
        <v>0</v>
      </c>
      <c r="BV127" s="0" t="n">
        <v>0</v>
      </c>
    </row>
    <row r="128" ht="19" customHeight="1" s="100" thickBot="1">
      <c r="C128" s="2" t="n"/>
      <c r="E128" s="118">
        <f>E49</f>
        <v/>
      </c>
      <c r="F128" s="103" t="n"/>
      <c r="G128" s="103" t="n"/>
      <c r="H128" s="103" t="n"/>
      <c r="I128" s="103" t="n"/>
      <c r="J128" s="103" t="n"/>
      <c r="K128" s="104" t="n"/>
      <c r="L128" s="119">
        <f>L49</f>
        <v/>
      </c>
      <c r="M128" s="103" t="n"/>
      <c r="N128" s="103" t="n"/>
      <c r="O128" s="104" t="n"/>
      <c r="P128" s="120">
        <f>$P$117/14</f>
        <v/>
      </c>
      <c r="Q128" s="103" t="n"/>
      <c r="R128" s="103" t="n"/>
      <c r="S128" s="103" t="n"/>
      <c r="T128" s="103" t="n"/>
      <c r="U128" s="103" t="n"/>
      <c r="V128" s="103" t="n"/>
      <c r="W128" s="104" t="n"/>
      <c r="X128" s="107">
        <f>BU128</f>
        <v/>
      </c>
      <c r="Y128" s="103" t="n"/>
      <c r="Z128" s="103" t="n"/>
      <c r="AA128" s="103" t="n"/>
      <c r="AB128" s="103" t="n"/>
      <c r="AC128" s="103" t="n"/>
      <c r="AD128" s="103" t="n"/>
      <c r="AE128" s="104" t="n"/>
      <c r="AF128" s="107">
        <f>BV128</f>
        <v/>
      </c>
      <c r="AG128" s="103" t="n"/>
      <c r="AH128" s="103" t="n"/>
      <c r="AI128" s="103" t="n"/>
      <c r="AJ128" s="103" t="n"/>
      <c r="AK128" s="103" t="n"/>
      <c r="AL128" s="103" t="n"/>
      <c r="AM128" s="104" t="n"/>
      <c r="AN128" s="116">
        <f>AF128/X128*100</f>
        <v/>
      </c>
      <c r="AO128" s="103" t="n"/>
      <c r="AP128" s="103" t="n"/>
      <c r="AQ128" s="103" t="n"/>
      <c r="AR128" s="103" t="n"/>
      <c r="AS128" s="103" t="n"/>
      <c r="AT128" s="103" t="n"/>
      <c r="AU128" s="104" t="n"/>
      <c r="AV128" s="107">
        <f>IF(P128=0, ,P128/X128*1000)</f>
        <v/>
      </c>
      <c r="AW128" s="103" t="n"/>
      <c r="AX128" s="103" t="n"/>
      <c r="AY128" s="103" t="n"/>
      <c r="AZ128" s="103" t="n"/>
      <c r="BA128" s="103" t="n"/>
      <c r="BB128" s="103" t="n"/>
      <c r="BC128" s="104" t="n"/>
      <c r="BD128" s="107">
        <f>IF(P128=0, ,P128/AF128)</f>
        <v/>
      </c>
      <c r="BE128" s="103" t="n"/>
      <c r="BF128" s="103" t="n"/>
      <c r="BG128" s="103" t="n"/>
      <c r="BH128" s="103" t="n"/>
      <c r="BI128" s="103" t="n"/>
      <c r="BJ128" s="104" t="n"/>
      <c r="BT128" s="33" t="n">
        <v>0</v>
      </c>
      <c r="BU128" s="28" t="n">
        <v>0</v>
      </c>
      <c r="BV128" s="34" t="n">
        <v>0</v>
      </c>
    </row>
    <row r="129" ht="19" customHeight="1" s="100" thickBot="1">
      <c r="C129" s="2" t="n"/>
      <c r="E129" s="118">
        <f>E50</f>
        <v/>
      </c>
      <c r="F129" s="103" t="n"/>
      <c r="G129" s="103" t="n"/>
      <c r="H129" s="103" t="n"/>
      <c r="I129" s="103" t="n"/>
      <c r="J129" s="103" t="n"/>
      <c r="K129" s="104" t="n"/>
      <c r="L129" s="119">
        <f>L50</f>
        <v/>
      </c>
      <c r="M129" s="103" t="n"/>
      <c r="N129" s="103" t="n"/>
      <c r="O129" s="104" t="n"/>
      <c r="P129" s="120">
        <f>$P$117/14</f>
        <v/>
      </c>
      <c r="Q129" s="103" t="n"/>
      <c r="R129" s="103" t="n"/>
      <c r="S129" s="103" t="n"/>
      <c r="T129" s="103" t="n"/>
      <c r="U129" s="103" t="n"/>
      <c r="V129" s="103" t="n"/>
      <c r="W129" s="104" t="n"/>
      <c r="X129" s="107">
        <f>BU129</f>
        <v/>
      </c>
      <c r="Y129" s="103" t="n"/>
      <c r="Z129" s="103" t="n"/>
      <c r="AA129" s="103" t="n"/>
      <c r="AB129" s="103" t="n"/>
      <c r="AC129" s="103" t="n"/>
      <c r="AD129" s="103" t="n"/>
      <c r="AE129" s="104" t="n"/>
      <c r="AF129" s="107">
        <f>BV129</f>
        <v/>
      </c>
      <c r="AG129" s="103" t="n"/>
      <c r="AH129" s="103" t="n"/>
      <c r="AI129" s="103" t="n"/>
      <c r="AJ129" s="103" t="n"/>
      <c r="AK129" s="103" t="n"/>
      <c r="AL129" s="103" t="n"/>
      <c r="AM129" s="104" t="n"/>
      <c r="AN129" s="116">
        <f>AF129/X129*100</f>
        <v/>
      </c>
      <c r="AO129" s="103" t="n"/>
      <c r="AP129" s="103" t="n"/>
      <c r="AQ129" s="103" t="n"/>
      <c r="AR129" s="103" t="n"/>
      <c r="AS129" s="103" t="n"/>
      <c r="AT129" s="103" t="n"/>
      <c r="AU129" s="104" t="n"/>
      <c r="AV129" s="107">
        <f>IF(P129=0, ,P129/X129*1000)</f>
        <v/>
      </c>
      <c r="AW129" s="103" t="n"/>
      <c r="AX129" s="103" t="n"/>
      <c r="AY129" s="103" t="n"/>
      <c r="AZ129" s="103" t="n"/>
      <c r="BA129" s="103" t="n"/>
      <c r="BB129" s="103" t="n"/>
      <c r="BC129" s="104" t="n"/>
      <c r="BD129" s="107">
        <f>IF(P129=0, ,P129/AF129)</f>
        <v/>
      </c>
      <c r="BE129" s="103" t="n"/>
      <c r="BF129" s="103" t="n"/>
      <c r="BG129" s="103" t="n"/>
      <c r="BH129" s="103" t="n"/>
      <c r="BI129" s="103" t="n"/>
      <c r="BJ129" s="104" t="n"/>
      <c r="BT129" s="33" t="n">
        <v>0</v>
      </c>
      <c r="BU129" s="28" t="n">
        <v>0</v>
      </c>
      <c r="BV129" s="29" t="n">
        <v>0</v>
      </c>
    </row>
    <row r="130" ht="19" customHeight="1" s="100" thickBot="1">
      <c r="C130" s="2" t="n"/>
      <c r="E130" s="118">
        <f>E51</f>
        <v/>
      </c>
      <c r="F130" s="103" t="n"/>
      <c r="G130" s="103" t="n"/>
      <c r="H130" s="103" t="n"/>
      <c r="I130" s="103" t="n"/>
      <c r="J130" s="103" t="n"/>
      <c r="K130" s="104" t="n"/>
      <c r="L130" s="119">
        <f>L51</f>
        <v/>
      </c>
      <c r="M130" s="103" t="n"/>
      <c r="N130" s="103" t="n"/>
      <c r="O130" s="104" t="n"/>
      <c r="P130" s="120">
        <f>$P$117/14</f>
        <v/>
      </c>
      <c r="Q130" s="103" t="n"/>
      <c r="R130" s="103" t="n"/>
      <c r="S130" s="103" t="n"/>
      <c r="T130" s="103" t="n"/>
      <c r="U130" s="103" t="n"/>
      <c r="V130" s="103" t="n"/>
      <c r="W130" s="104" t="n"/>
      <c r="X130" s="107">
        <f>BU130</f>
        <v/>
      </c>
      <c r="Y130" s="103" t="n"/>
      <c r="Z130" s="103" t="n"/>
      <c r="AA130" s="103" t="n"/>
      <c r="AB130" s="103" t="n"/>
      <c r="AC130" s="103" t="n"/>
      <c r="AD130" s="103" t="n"/>
      <c r="AE130" s="104" t="n"/>
      <c r="AF130" s="107">
        <f>BV130</f>
        <v/>
      </c>
      <c r="AG130" s="103" t="n"/>
      <c r="AH130" s="103" t="n"/>
      <c r="AI130" s="103" t="n"/>
      <c r="AJ130" s="103" t="n"/>
      <c r="AK130" s="103" t="n"/>
      <c r="AL130" s="103" t="n"/>
      <c r="AM130" s="104" t="n"/>
      <c r="AN130" s="116">
        <f>AF130/X130*100</f>
        <v/>
      </c>
      <c r="AO130" s="103" t="n"/>
      <c r="AP130" s="103" t="n"/>
      <c r="AQ130" s="103" t="n"/>
      <c r="AR130" s="103" t="n"/>
      <c r="AS130" s="103" t="n"/>
      <c r="AT130" s="103" t="n"/>
      <c r="AU130" s="104" t="n"/>
      <c r="AV130" s="107">
        <f>IF(P130=0, ,P130/X130*1000)</f>
        <v/>
      </c>
      <c r="AW130" s="103" t="n"/>
      <c r="AX130" s="103" t="n"/>
      <c r="AY130" s="103" t="n"/>
      <c r="AZ130" s="103" t="n"/>
      <c r="BA130" s="103" t="n"/>
      <c r="BB130" s="103" t="n"/>
      <c r="BC130" s="104" t="n"/>
      <c r="BD130" s="107">
        <f>IF(P130=0, ,P130/AF130)</f>
        <v/>
      </c>
      <c r="BE130" s="103" t="n"/>
      <c r="BF130" s="103" t="n"/>
      <c r="BG130" s="103" t="n"/>
      <c r="BH130" s="103" t="n"/>
      <c r="BI130" s="103" t="n"/>
      <c r="BJ130" s="104" t="n"/>
      <c r="BT130" s="33" t="n">
        <v>0</v>
      </c>
      <c r="BU130" s="28" t="n">
        <v>0</v>
      </c>
      <c r="BV130" s="29" t="n">
        <v>0</v>
      </c>
    </row>
    <row r="131" ht="19" customHeight="1" s="100" thickBot="1">
      <c r="C131" s="2" t="n"/>
      <c r="E131" s="118">
        <f>E52</f>
        <v/>
      </c>
      <c r="F131" s="103" t="n"/>
      <c r="G131" s="103" t="n"/>
      <c r="H131" s="103" t="n"/>
      <c r="I131" s="103" t="n"/>
      <c r="J131" s="103" t="n"/>
      <c r="K131" s="104" t="n"/>
      <c r="L131" s="119">
        <f>L52</f>
        <v/>
      </c>
      <c r="M131" s="103" t="n"/>
      <c r="N131" s="103" t="n"/>
      <c r="O131" s="104" t="n"/>
      <c r="P131" s="120">
        <f>$P$117/14</f>
        <v/>
      </c>
      <c r="Q131" s="103" t="n"/>
      <c r="R131" s="103" t="n"/>
      <c r="S131" s="103" t="n"/>
      <c r="T131" s="103" t="n"/>
      <c r="U131" s="103" t="n"/>
      <c r="V131" s="103" t="n"/>
      <c r="W131" s="104" t="n"/>
      <c r="X131" s="107">
        <f>BU131</f>
        <v/>
      </c>
      <c r="Y131" s="103" t="n"/>
      <c r="Z131" s="103" t="n"/>
      <c r="AA131" s="103" t="n"/>
      <c r="AB131" s="103" t="n"/>
      <c r="AC131" s="103" t="n"/>
      <c r="AD131" s="103" t="n"/>
      <c r="AE131" s="104" t="n"/>
      <c r="AF131" s="107">
        <f>BV131</f>
        <v/>
      </c>
      <c r="AG131" s="103" t="n"/>
      <c r="AH131" s="103" t="n"/>
      <c r="AI131" s="103" t="n"/>
      <c r="AJ131" s="103" t="n"/>
      <c r="AK131" s="103" t="n"/>
      <c r="AL131" s="103" t="n"/>
      <c r="AM131" s="104" t="n"/>
      <c r="AN131" s="116">
        <f>AF131/X131*100</f>
        <v/>
      </c>
      <c r="AO131" s="103" t="n"/>
      <c r="AP131" s="103" t="n"/>
      <c r="AQ131" s="103" t="n"/>
      <c r="AR131" s="103" t="n"/>
      <c r="AS131" s="103" t="n"/>
      <c r="AT131" s="103" t="n"/>
      <c r="AU131" s="104" t="n"/>
      <c r="AV131" s="107">
        <f>IF(P131=0, ,P131/X131*1000)</f>
        <v/>
      </c>
      <c r="AW131" s="103" t="n"/>
      <c r="AX131" s="103" t="n"/>
      <c r="AY131" s="103" t="n"/>
      <c r="AZ131" s="103" t="n"/>
      <c r="BA131" s="103" t="n"/>
      <c r="BB131" s="103" t="n"/>
      <c r="BC131" s="104" t="n"/>
      <c r="BD131" s="107">
        <f>IF(P131=0, ,P131/AF131)</f>
        <v/>
      </c>
      <c r="BE131" s="103" t="n"/>
      <c r="BF131" s="103" t="n"/>
      <c r="BG131" s="103" t="n"/>
      <c r="BH131" s="103" t="n"/>
      <c r="BI131" s="103" t="n"/>
      <c r="BJ131" s="104" t="n"/>
      <c r="BT131" s="33" t="n">
        <v>0</v>
      </c>
      <c r="BU131" s="28" t="n">
        <v>0</v>
      </c>
      <c r="BV131" s="29" t="n">
        <v>0</v>
      </c>
    </row>
    <row r="132" ht="15" customHeight="1" s="100">
      <c r="C132" s="2" t="n"/>
    </row>
    <row r="133" ht="22" customHeight="1" s="100">
      <c r="C133" s="2" t="n"/>
      <c r="E133" s="3" t="inlineStr">
        <is>
          <t>⑤ 앱 헤드라인 뉴스</t>
        </is>
      </c>
      <c r="BJ133" s="32" t="inlineStr">
        <is>
          <t>(단위 : 원, 건, %)</t>
        </is>
      </c>
    </row>
    <row r="134" ht="10" customHeight="1" s="100">
      <c r="C134" s="2" t="n"/>
    </row>
    <row r="135" ht="22" customHeight="1" s="100" thickBot="1">
      <c r="C135" s="2" t="n"/>
      <c r="E135" s="64" t="inlineStr">
        <is>
          <t>구 분</t>
        </is>
      </c>
      <c r="F135" s="103" t="n"/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4" t="n"/>
      <c r="P135" s="64" t="inlineStr">
        <is>
          <t>집행 금액</t>
        </is>
      </c>
      <c r="Q135" s="103" t="n"/>
      <c r="R135" s="103" t="n"/>
      <c r="S135" s="103" t="n"/>
      <c r="T135" s="103" t="n"/>
      <c r="U135" s="103" t="n"/>
      <c r="V135" s="103" t="n"/>
      <c r="W135" s="104" t="n"/>
      <c r="X135" s="64" t="inlineStr">
        <is>
          <t>Imps</t>
        </is>
      </c>
      <c r="Y135" s="103" t="n"/>
      <c r="Z135" s="103" t="n"/>
      <c r="AA135" s="103" t="n"/>
      <c r="AB135" s="103" t="n"/>
      <c r="AC135" s="103" t="n"/>
      <c r="AD135" s="103" t="n"/>
      <c r="AE135" s="104" t="n"/>
      <c r="AF135" s="64" t="inlineStr">
        <is>
          <t>Click</t>
        </is>
      </c>
      <c r="AG135" s="103" t="n"/>
      <c r="AH135" s="103" t="n"/>
      <c r="AI135" s="103" t="n"/>
      <c r="AJ135" s="103" t="n"/>
      <c r="AK135" s="103" t="n"/>
      <c r="AL135" s="103" t="n"/>
      <c r="AM135" s="104" t="n"/>
      <c r="AN135" s="64" t="inlineStr">
        <is>
          <t>CTR</t>
        </is>
      </c>
      <c r="AO135" s="103" t="n"/>
      <c r="AP135" s="103" t="n"/>
      <c r="AQ135" s="103" t="n"/>
      <c r="AR135" s="103" t="n"/>
      <c r="AS135" s="103" t="n"/>
      <c r="AT135" s="103" t="n"/>
      <c r="AU135" s="104" t="n"/>
      <c r="AV135" s="64" t="inlineStr">
        <is>
          <t>CPM</t>
        </is>
      </c>
      <c r="AW135" s="103" t="n"/>
      <c r="AX135" s="103" t="n"/>
      <c r="AY135" s="103" t="n"/>
      <c r="AZ135" s="103" t="n"/>
      <c r="BA135" s="103" t="n"/>
      <c r="BB135" s="103" t="n"/>
      <c r="BC135" s="104" t="n"/>
      <c r="BD135" s="64" t="inlineStr">
        <is>
          <t>CPC</t>
        </is>
      </c>
      <c r="BE135" s="103" t="n"/>
      <c r="BF135" s="103" t="n"/>
      <c r="BG135" s="103" t="n"/>
      <c r="BH135" s="103" t="n"/>
      <c r="BI135" s="103" t="n"/>
      <c r="BJ135" s="104" t="n"/>
    </row>
    <row r="136" ht="22" customHeight="1" s="100" thickBot="1">
      <c r="C136" s="2" t="n"/>
      <c r="E136" s="60" t="inlineStr">
        <is>
          <t>Total</t>
        </is>
      </c>
      <c r="F136" s="103" t="n"/>
      <c r="G136" s="103" t="n"/>
      <c r="H136" s="103" t="n"/>
      <c r="I136" s="103" t="n"/>
      <c r="J136" s="103" t="n"/>
      <c r="K136" s="103" t="n"/>
      <c r="L136" s="103" t="n"/>
      <c r="M136" s="103" t="n"/>
      <c r="N136" s="103" t="n"/>
      <c r="O136" s="104" t="n"/>
      <c r="P136" s="110">
        <f>P33</f>
        <v/>
      </c>
      <c r="Q136" s="103" t="n"/>
      <c r="R136" s="103" t="n"/>
      <c r="S136" s="103" t="n"/>
      <c r="T136" s="103" t="n"/>
      <c r="U136" s="103" t="n"/>
      <c r="V136" s="103" t="n"/>
      <c r="W136" s="104" t="n"/>
      <c r="X136" s="110">
        <f>SUM(X137:AE150)</f>
        <v/>
      </c>
      <c r="Y136" s="103" t="n"/>
      <c r="Z136" s="103" t="n"/>
      <c r="AA136" s="103" t="n"/>
      <c r="AB136" s="103" t="n"/>
      <c r="AC136" s="103" t="n"/>
      <c r="AD136" s="103" t="n"/>
      <c r="AE136" s="104" t="n"/>
      <c r="AF136" s="110">
        <f>SUM(AF137:AM150)</f>
        <v/>
      </c>
      <c r="AG136" s="103" t="n"/>
      <c r="AH136" s="103" t="n"/>
      <c r="AI136" s="103" t="n"/>
      <c r="AJ136" s="103" t="n"/>
      <c r="AK136" s="103" t="n"/>
      <c r="AL136" s="103" t="n"/>
      <c r="AM136" s="104" t="n"/>
      <c r="AN136" s="111">
        <f>AF136/X136*100</f>
        <v/>
      </c>
      <c r="AO136" s="103" t="n"/>
      <c r="AP136" s="103" t="n"/>
      <c r="AQ136" s="103" t="n"/>
      <c r="AR136" s="103" t="n"/>
      <c r="AS136" s="103" t="n"/>
      <c r="AT136" s="103" t="n"/>
      <c r="AU136" s="104" t="n"/>
      <c r="AV136" s="110">
        <f>IF(P136=0, ,P136/X136*1000)</f>
        <v/>
      </c>
      <c r="AW136" s="103" t="n"/>
      <c r="AX136" s="103" t="n"/>
      <c r="AY136" s="103" t="n"/>
      <c r="AZ136" s="103" t="n"/>
      <c r="BA136" s="103" t="n"/>
      <c r="BB136" s="103" t="n"/>
      <c r="BC136" s="104" t="n"/>
      <c r="BD136" s="110">
        <f>IF(P136=0, ,P136/AF136)</f>
        <v/>
      </c>
      <c r="BE136" s="103" t="n"/>
      <c r="BF136" s="103" t="n"/>
      <c r="BG136" s="103" t="n"/>
      <c r="BH136" s="103" t="n"/>
      <c r="BI136" s="103" t="n"/>
      <c r="BJ136" s="104" t="n"/>
      <c r="BT136" s="21" t="n"/>
      <c r="BU136" s="21" t="n"/>
      <c r="BV136" s="21" t="n"/>
    </row>
    <row r="137" ht="22" customHeight="1" s="100" thickBot="1">
      <c r="C137" s="2" t="n"/>
      <c r="E137" s="118">
        <f>E39</f>
        <v/>
      </c>
      <c r="F137" s="103" t="n"/>
      <c r="G137" s="103" t="n"/>
      <c r="H137" s="103" t="n"/>
      <c r="I137" s="103" t="n"/>
      <c r="J137" s="103" t="n"/>
      <c r="K137" s="104" t="n"/>
      <c r="L137" s="119">
        <f>L39</f>
        <v/>
      </c>
      <c r="M137" s="103" t="n"/>
      <c r="N137" s="103" t="n"/>
      <c r="O137" s="104" t="n"/>
      <c r="P137" s="113" t="n">
        <v>0</v>
      </c>
      <c r="Q137" s="103" t="n"/>
      <c r="R137" s="103" t="n"/>
      <c r="S137" s="103" t="n"/>
      <c r="T137" s="103" t="n"/>
      <c r="U137" s="103" t="n"/>
      <c r="V137" s="103" t="n"/>
      <c r="W137" s="104" t="n"/>
      <c r="X137" s="120">
        <f>BU137</f>
        <v/>
      </c>
      <c r="Y137" s="103" t="n"/>
      <c r="Z137" s="103" t="n"/>
      <c r="AA137" s="103" t="n"/>
      <c r="AB137" s="103" t="n"/>
      <c r="AC137" s="103" t="n"/>
      <c r="AD137" s="103" t="n"/>
      <c r="AE137" s="104" t="n"/>
      <c r="AF137" s="107">
        <f>BV137</f>
        <v/>
      </c>
      <c r="AG137" s="103" t="n"/>
      <c r="AH137" s="103" t="n"/>
      <c r="AI137" s="103" t="n"/>
      <c r="AJ137" s="103" t="n"/>
      <c r="AK137" s="103" t="n"/>
      <c r="AL137" s="103" t="n"/>
      <c r="AM137" s="104" t="n"/>
      <c r="AN137" s="116">
        <f>AF137/X137*100</f>
        <v/>
      </c>
      <c r="AO137" s="103" t="n"/>
      <c r="AP137" s="103" t="n"/>
      <c r="AQ137" s="103" t="n"/>
      <c r="AR137" s="103" t="n"/>
      <c r="AS137" s="103" t="n"/>
      <c r="AT137" s="103" t="n"/>
      <c r="AU137" s="104" t="n"/>
      <c r="AV137" s="107">
        <f>IF(P137=0, ,P137/X137*1000)</f>
        <v/>
      </c>
      <c r="AW137" s="103" t="n"/>
      <c r="AX137" s="103" t="n"/>
      <c r="AY137" s="103" t="n"/>
      <c r="AZ137" s="103" t="n"/>
      <c r="BA137" s="103" t="n"/>
      <c r="BB137" s="103" t="n"/>
      <c r="BC137" s="104" t="n"/>
      <c r="BD137" s="107">
        <f>IF(P137=0, ,P137/AF137)</f>
        <v/>
      </c>
      <c r="BE137" s="103" t="n"/>
      <c r="BF137" s="103" t="n"/>
      <c r="BG137" s="103" t="n"/>
      <c r="BH137" s="103" t="n"/>
      <c r="BI137" s="103" t="n"/>
      <c r="BJ137" s="104" t="n"/>
      <c r="BT137" s="33" t="n">
        <v>0</v>
      </c>
      <c r="BU137" s="23" t="n">
        <v>0</v>
      </c>
      <c r="BV137" s="29" t="n">
        <v>0</v>
      </c>
    </row>
    <row r="138" ht="22" customHeight="1" s="100" thickBot="1">
      <c r="C138" s="2" t="n"/>
      <c r="E138" s="118">
        <f>E40</f>
        <v/>
      </c>
      <c r="F138" s="103" t="n"/>
      <c r="G138" s="103" t="n"/>
      <c r="H138" s="103" t="n"/>
      <c r="I138" s="103" t="n"/>
      <c r="J138" s="103" t="n"/>
      <c r="K138" s="104" t="n"/>
      <c r="L138" s="119">
        <f>L40</f>
        <v/>
      </c>
      <c r="M138" s="103" t="n"/>
      <c r="N138" s="103" t="n"/>
      <c r="O138" s="104" t="n"/>
      <c r="P138" s="113" t="n">
        <v>0</v>
      </c>
      <c r="Q138" s="103" t="n"/>
      <c r="R138" s="103" t="n"/>
      <c r="S138" s="103" t="n"/>
      <c r="T138" s="103" t="n"/>
      <c r="U138" s="103" t="n"/>
      <c r="V138" s="103" t="n"/>
      <c r="W138" s="104" t="n"/>
      <c r="X138" s="120">
        <f>BU138</f>
        <v/>
      </c>
      <c r="Y138" s="103" t="n"/>
      <c r="Z138" s="103" t="n"/>
      <c r="AA138" s="103" t="n"/>
      <c r="AB138" s="103" t="n"/>
      <c r="AC138" s="103" t="n"/>
      <c r="AD138" s="103" t="n"/>
      <c r="AE138" s="104" t="n"/>
      <c r="AF138" s="107">
        <f>BV138</f>
        <v/>
      </c>
      <c r="AG138" s="103" t="n"/>
      <c r="AH138" s="103" t="n"/>
      <c r="AI138" s="103" t="n"/>
      <c r="AJ138" s="103" t="n"/>
      <c r="AK138" s="103" t="n"/>
      <c r="AL138" s="103" t="n"/>
      <c r="AM138" s="104" t="n"/>
      <c r="AN138" s="116">
        <f>AF138/X138*100</f>
        <v/>
      </c>
      <c r="AO138" s="103" t="n"/>
      <c r="AP138" s="103" t="n"/>
      <c r="AQ138" s="103" t="n"/>
      <c r="AR138" s="103" t="n"/>
      <c r="AS138" s="103" t="n"/>
      <c r="AT138" s="103" t="n"/>
      <c r="AU138" s="104" t="n"/>
      <c r="AV138" s="107">
        <f>IF(P138=0, ,P138/X138*1000)</f>
        <v/>
      </c>
      <c r="AW138" s="103" t="n"/>
      <c r="AX138" s="103" t="n"/>
      <c r="AY138" s="103" t="n"/>
      <c r="AZ138" s="103" t="n"/>
      <c r="BA138" s="103" t="n"/>
      <c r="BB138" s="103" t="n"/>
      <c r="BC138" s="104" t="n"/>
      <c r="BD138" s="107">
        <f>IF(P138=0, ,P138/AF138)</f>
        <v/>
      </c>
      <c r="BE138" s="103" t="n"/>
      <c r="BF138" s="103" t="n"/>
      <c r="BG138" s="103" t="n"/>
      <c r="BH138" s="103" t="n"/>
      <c r="BI138" s="103" t="n"/>
      <c r="BJ138" s="104" t="n"/>
      <c r="BT138" s="33" t="n">
        <v>0</v>
      </c>
      <c r="BU138" s="23" t="n">
        <v>0</v>
      </c>
      <c r="BV138" s="21" t="n">
        <v>0</v>
      </c>
    </row>
    <row r="139" ht="22" customHeight="1" s="100" thickBot="1">
      <c r="C139" s="2" t="n"/>
      <c r="E139" s="118">
        <f>E41</f>
        <v/>
      </c>
      <c r="F139" s="103" t="n"/>
      <c r="G139" s="103" t="n"/>
      <c r="H139" s="103" t="n"/>
      <c r="I139" s="103" t="n"/>
      <c r="J139" s="103" t="n"/>
      <c r="K139" s="104" t="n"/>
      <c r="L139" s="119">
        <f>L41</f>
        <v/>
      </c>
      <c r="M139" s="103" t="n"/>
      <c r="N139" s="103" t="n"/>
      <c r="O139" s="104" t="n"/>
      <c r="P139" s="113" t="n">
        <v>0</v>
      </c>
      <c r="Q139" s="103" t="n"/>
      <c r="R139" s="103" t="n"/>
      <c r="S139" s="103" t="n"/>
      <c r="T139" s="103" t="n"/>
      <c r="U139" s="103" t="n"/>
      <c r="V139" s="103" t="n"/>
      <c r="W139" s="104" t="n"/>
      <c r="X139" s="120">
        <f>BU139</f>
        <v/>
      </c>
      <c r="Y139" s="103" t="n"/>
      <c r="Z139" s="103" t="n"/>
      <c r="AA139" s="103" t="n"/>
      <c r="AB139" s="103" t="n"/>
      <c r="AC139" s="103" t="n"/>
      <c r="AD139" s="103" t="n"/>
      <c r="AE139" s="104" t="n"/>
      <c r="AF139" s="107">
        <f>BV139</f>
        <v/>
      </c>
      <c r="AG139" s="103" t="n"/>
      <c r="AH139" s="103" t="n"/>
      <c r="AI139" s="103" t="n"/>
      <c r="AJ139" s="103" t="n"/>
      <c r="AK139" s="103" t="n"/>
      <c r="AL139" s="103" t="n"/>
      <c r="AM139" s="104" t="n"/>
      <c r="AN139" s="116">
        <f>AF139/X139*100</f>
        <v/>
      </c>
      <c r="AO139" s="103" t="n"/>
      <c r="AP139" s="103" t="n"/>
      <c r="AQ139" s="103" t="n"/>
      <c r="AR139" s="103" t="n"/>
      <c r="AS139" s="103" t="n"/>
      <c r="AT139" s="103" t="n"/>
      <c r="AU139" s="104" t="n"/>
      <c r="AV139" s="107">
        <f>IF(P139=0, ,P139/X139*1000)</f>
        <v/>
      </c>
      <c r="AW139" s="103" t="n"/>
      <c r="AX139" s="103" t="n"/>
      <c r="AY139" s="103" t="n"/>
      <c r="AZ139" s="103" t="n"/>
      <c r="BA139" s="103" t="n"/>
      <c r="BB139" s="103" t="n"/>
      <c r="BC139" s="104" t="n"/>
      <c r="BD139" s="107">
        <f>IF(P139=0, ,P139/AF139)</f>
        <v/>
      </c>
      <c r="BE139" s="103" t="n"/>
      <c r="BF139" s="103" t="n"/>
      <c r="BG139" s="103" t="n"/>
      <c r="BH139" s="103" t="n"/>
      <c r="BI139" s="103" t="n"/>
      <c r="BJ139" s="104" t="n"/>
      <c r="BT139" s="33" t="n">
        <v>0</v>
      </c>
      <c r="BU139" s="23" t="n">
        <v>0</v>
      </c>
      <c r="BV139" s="21" t="n">
        <v>0</v>
      </c>
    </row>
    <row r="140" ht="22" customHeight="1" s="100" thickBot="1">
      <c r="C140" s="2" t="n"/>
      <c r="E140" s="118">
        <f>E42</f>
        <v/>
      </c>
      <c r="F140" s="103" t="n"/>
      <c r="G140" s="103" t="n"/>
      <c r="H140" s="103" t="n"/>
      <c r="I140" s="103" t="n"/>
      <c r="J140" s="103" t="n"/>
      <c r="K140" s="104" t="n"/>
      <c r="L140" s="119">
        <f>L42</f>
        <v/>
      </c>
      <c r="M140" s="103" t="n"/>
      <c r="N140" s="103" t="n"/>
      <c r="O140" s="104" t="n"/>
      <c r="P140" s="113" t="n">
        <v>0</v>
      </c>
      <c r="Q140" s="103" t="n"/>
      <c r="R140" s="103" t="n"/>
      <c r="S140" s="103" t="n"/>
      <c r="T140" s="103" t="n"/>
      <c r="U140" s="103" t="n"/>
      <c r="V140" s="103" t="n"/>
      <c r="W140" s="104" t="n"/>
      <c r="X140" s="120">
        <f>BU140</f>
        <v/>
      </c>
      <c r="Y140" s="103" t="n"/>
      <c r="Z140" s="103" t="n"/>
      <c r="AA140" s="103" t="n"/>
      <c r="AB140" s="103" t="n"/>
      <c r="AC140" s="103" t="n"/>
      <c r="AD140" s="103" t="n"/>
      <c r="AE140" s="104" t="n"/>
      <c r="AF140" s="107">
        <f>BV140</f>
        <v/>
      </c>
      <c r="AG140" s="103" t="n"/>
      <c r="AH140" s="103" t="n"/>
      <c r="AI140" s="103" t="n"/>
      <c r="AJ140" s="103" t="n"/>
      <c r="AK140" s="103" t="n"/>
      <c r="AL140" s="103" t="n"/>
      <c r="AM140" s="104" t="n"/>
      <c r="AN140" s="116">
        <f>AF140/X140*100</f>
        <v/>
      </c>
      <c r="AO140" s="103" t="n"/>
      <c r="AP140" s="103" t="n"/>
      <c r="AQ140" s="103" t="n"/>
      <c r="AR140" s="103" t="n"/>
      <c r="AS140" s="103" t="n"/>
      <c r="AT140" s="103" t="n"/>
      <c r="AU140" s="104" t="n"/>
      <c r="AV140" s="107">
        <f>IF(P140=0, ,P140/X140*1000)</f>
        <v/>
      </c>
      <c r="AW140" s="103" t="n"/>
      <c r="AX140" s="103" t="n"/>
      <c r="AY140" s="103" t="n"/>
      <c r="AZ140" s="103" t="n"/>
      <c r="BA140" s="103" t="n"/>
      <c r="BB140" s="103" t="n"/>
      <c r="BC140" s="104" t="n"/>
      <c r="BD140" s="107">
        <f>IF(P140=0, ,P140/AF140)</f>
        <v/>
      </c>
      <c r="BE140" s="103" t="n"/>
      <c r="BF140" s="103" t="n"/>
      <c r="BG140" s="103" t="n"/>
      <c r="BH140" s="103" t="n"/>
      <c r="BI140" s="103" t="n"/>
      <c r="BJ140" s="104" t="n"/>
      <c r="BT140" s="33" t="n">
        <v>0</v>
      </c>
      <c r="BU140" s="23" t="n">
        <v>0</v>
      </c>
      <c r="BV140" s="21" t="n">
        <v>0</v>
      </c>
    </row>
    <row r="141" ht="22" customHeight="1" s="100" thickBot="1">
      <c r="C141" s="2" t="n"/>
      <c r="E141" s="118">
        <f>E43</f>
        <v/>
      </c>
      <c r="F141" s="103" t="n"/>
      <c r="G141" s="103" t="n"/>
      <c r="H141" s="103" t="n"/>
      <c r="I141" s="103" t="n"/>
      <c r="J141" s="103" t="n"/>
      <c r="K141" s="104" t="n"/>
      <c r="L141" s="119">
        <f>L43</f>
        <v/>
      </c>
      <c r="M141" s="103" t="n"/>
      <c r="N141" s="103" t="n"/>
      <c r="O141" s="104" t="n"/>
      <c r="P141" s="113" t="n">
        <v>0</v>
      </c>
      <c r="Q141" s="103" t="n"/>
      <c r="R141" s="103" t="n"/>
      <c r="S141" s="103" t="n"/>
      <c r="T141" s="103" t="n"/>
      <c r="U141" s="103" t="n"/>
      <c r="V141" s="103" t="n"/>
      <c r="W141" s="104" t="n"/>
      <c r="X141" s="120">
        <f>BU141</f>
        <v/>
      </c>
      <c r="Y141" s="103" t="n"/>
      <c r="Z141" s="103" t="n"/>
      <c r="AA141" s="103" t="n"/>
      <c r="AB141" s="103" t="n"/>
      <c r="AC141" s="103" t="n"/>
      <c r="AD141" s="103" t="n"/>
      <c r="AE141" s="104" t="n"/>
      <c r="AF141" s="107">
        <f>BV141</f>
        <v/>
      </c>
      <c r="AG141" s="103" t="n"/>
      <c r="AH141" s="103" t="n"/>
      <c r="AI141" s="103" t="n"/>
      <c r="AJ141" s="103" t="n"/>
      <c r="AK141" s="103" t="n"/>
      <c r="AL141" s="103" t="n"/>
      <c r="AM141" s="104" t="n"/>
      <c r="AN141" s="116">
        <f>AF141/X141*100</f>
        <v/>
      </c>
      <c r="AO141" s="103" t="n"/>
      <c r="AP141" s="103" t="n"/>
      <c r="AQ141" s="103" t="n"/>
      <c r="AR141" s="103" t="n"/>
      <c r="AS141" s="103" t="n"/>
      <c r="AT141" s="103" t="n"/>
      <c r="AU141" s="104" t="n"/>
      <c r="AV141" s="107">
        <f>IF(P141=0, ,P141/X141*1000)</f>
        <v/>
      </c>
      <c r="AW141" s="103" t="n"/>
      <c r="AX141" s="103" t="n"/>
      <c r="AY141" s="103" t="n"/>
      <c r="AZ141" s="103" t="n"/>
      <c r="BA141" s="103" t="n"/>
      <c r="BB141" s="103" t="n"/>
      <c r="BC141" s="104" t="n"/>
      <c r="BD141" s="107">
        <f>IF(P141=0, ,P141/AF141)</f>
        <v/>
      </c>
      <c r="BE141" s="103" t="n"/>
      <c r="BF141" s="103" t="n"/>
      <c r="BG141" s="103" t="n"/>
      <c r="BH141" s="103" t="n"/>
      <c r="BI141" s="103" t="n"/>
      <c r="BJ141" s="104" t="n"/>
      <c r="BT141" s="33" t="n">
        <v>0</v>
      </c>
      <c r="BU141" s="23" t="n">
        <v>0</v>
      </c>
      <c r="BV141" s="21" t="n">
        <v>0</v>
      </c>
    </row>
    <row r="142" ht="22" customHeight="1" s="100" thickBot="1">
      <c r="C142" s="2" t="n"/>
      <c r="E142" s="118">
        <f>E44</f>
        <v/>
      </c>
      <c r="F142" s="103" t="n"/>
      <c r="G142" s="103" t="n"/>
      <c r="H142" s="103" t="n"/>
      <c r="I142" s="103" t="n"/>
      <c r="J142" s="103" t="n"/>
      <c r="K142" s="104" t="n"/>
      <c r="L142" s="119">
        <f>L44</f>
        <v/>
      </c>
      <c r="M142" s="103" t="n"/>
      <c r="N142" s="103" t="n"/>
      <c r="O142" s="104" t="n"/>
      <c r="P142" s="113" t="n">
        <v>0</v>
      </c>
      <c r="Q142" s="103" t="n"/>
      <c r="R142" s="103" t="n"/>
      <c r="S142" s="103" t="n"/>
      <c r="T142" s="103" t="n"/>
      <c r="U142" s="103" t="n"/>
      <c r="V142" s="103" t="n"/>
      <c r="W142" s="104" t="n"/>
      <c r="X142" s="120">
        <f>BU142</f>
        <v/>
      </c>
      <c r="Y142" s="103" t="n"/>
      <c r="Z142" s="103" t="n"/>
      <c r="AA142" s="103" t="n"/>
      <c r="AB142" s="103" t="n"/>
      <c r="AC142" s="103" t="n"/>
      <c r="AD142" s="103" t="n"/>
      <c r="AE142" s="104" t="n"/>
      <c r="AF142" s="107">
        <f>BV142</f>
        <v/>
      </c>
      <c r="AG142" s="103" t="n"/>
      <c r="AH142" s="103" t="n"/>
      <c r="AI142" s="103" t="n"/>
      <c r="AJ142" s="103" t="n"/>
      <c r="AK142" s="103" t="n"/>
      <c r="AL142" s="103" t="n"/>
      <c r="AM142" s="104" t="n"/>
      <c r="AN142" s="116">
        <f>AF142/X142*100</f>
        <v/>
      </c>
      <c r="AO142" s="103" t="n"/>
      <c r="AP142" s="103" t="n"/>
      <c r="AQ142" s="103" t="n"/>
      <c r="AR142" s="103" t="n"/>
      <c r="AS142" s="103" t="n"/>
      <c r="AT142" s="103" t="n"/>
      <c r="AU142" s="104" t="n"/>
      <c r="AV142" s="107">
        <f>IF(P142=0, ,P142/X142*1000)</f>
        <v/>
      </c>
      <c r="AW142" s="103" t="n"/>
      <c r="AX142" s="103" t="n"/>
      <c r="AY142" s="103" t="n"/>
      <c r="AZ142" s="103" t="n"/>
      <c r="BA142" s="103" t="n"/>
      <c r="BB142" s="103" t="n"/>
      <c r="BC142" s="104" t="n"/>
      <c r="BD142" s="107">
        <f>IF(P142=0, ,P142/AF142)</f>
        <v/>
      </c>
      <c r="BE142" s="103" t="n"/>
      <c r="BF142" s="103" t="n"/>
      <c r="BG142" s="103" t="n"/>
      <c r="BH142" s="103" t="n"/>
      <c r="BI142" s="103" t="n"/>
      <c r="BJ142" s="104" t="n"/>
      <c r="BT142" s="33" t="n">
        <v>0</v>
      </c>
      <c r="BU142" s="23" t="n">
        <v>0</v>
      </c>
      <c r="BV142" s="21" t="n">
        <v>0</v>
      </c>
    </row>
    <row r="143" ht="22" customHeight="1" s="100" thickBot="1">
      <c r="C143" s="2" t="n"/>
      <c r="E143" s="118">
        <f>E45</f>
        <v/>
      </c>
      <c r="F143" s="103" t="n"/>
      <c r="G143" s="103" t="n"/>
      <c r="H143" s="103" t="n"/>
      <c r="I143" s="103" t="n"/>
      <c r="J143" s="103" t="n"/>
      <c r="K143" s="104" t="n"/>
      <c r="L143" s="119">
        <f>L45</f>
        <v/>
      </c>
      <c r="M143" s="103" t="n"/>
      <c r="N143" s="103" t="n"/>
      <c r="O143" s="104" t="n"/>
      <c r="P143" s="113" t="n">
        <v>0</v>
      </c>
      <c r="Q143" s="103" t="n"/>
      <c r="R143" s="103" t="n"/>
      <c r="S143" s="103" t="n"/>
      <c r="T143" s="103" t="n"/>
      <c r="U143" s="103" t="n"/>
      <c r="V143" s="103" t="n"/>
      <c r="W143" s="104" t="n"/>
      <c r="X143" s="120">
        <f>BU143</f>
        <v/>
      </c>
      <c r="Y143" s="103" t="n"/>
      <c r="Z143" s="103" t="n"/>
      <c r="AA143" s="103" t="n"/>
      <c r="AB143" s="103" t="n"/>
      <c r="AC143" s="103" t="n"/>
      <c r="AD143" s="103" t="n"/>
      <c r="AE143" s="104" t="n"/>
      <c r="AF143" s="107">
        <f>BV143</f>
        <v/>
      </c>
      <c r="AG143" s="103" t="n"/>
      <c r="AH143" s="103" t="n"/>
      <c r="AI143" s="103" t="n"/>
      <c r="AJ143" s="103" t="n"/>
      <c r="AK143" s="103" t="n"/>
      <c r="AL143" s="103" t="n"/>
      <c r="AM143" s="104" t="n"/>
      <c r="AN143" s="116">
        <f>AF143/X143*100</f>
        <v/>
      </c>
      <c r="AO143" s="103" t="n"/>
      <c r="AP143" s="103" t="n"/>
      <c r="AQ143" s="103" t="n"/>
      <c r="AR143" s="103" t="n"/>
      <c r="AS143" s="103" t="n"/>
      <c r="AT143" s="103" t="n"/>
      <c r="AU143" s="104" t="n"/>
      <c r="AV143" s="107">
        <f>IF(P143=0, ,P143/X143*1000)</f>
        <v/>
      </c>
      <c r="AW143" s="103" t="n"/>
      <c r="AX143" s="103" t="n"/>
      <c r="AY143" s="103" t="n"/>
      <c r="AZ143" s="103" t="n"/>
      <c r="BA143" s="103" t="n"/>
      <c r="BB143" s="103" t="n"/>
      <c r="BC143" s="104" t="n"/>
      <c r="BD143" s="107">
        <f>IF(P143=0, ,P143/AF143)</f>
        <v/>
      </c>
      <c r="BE143" s="103" t="n"/>
      <c r="BF143" s="103" t="n"/>
      <c r="BG143" s="103" t="n"/>
      <c r="BH143" s="103" t="n"/>
      <c r="BI143" s="103" t="n"/>
      <c r="BJ143" s="104" t="n"/>
      <c r="BT143" s="33" t="n">
        <v>0</v>
      </c>
      <c r="BU143" s="23" t="n">
        <v>0</v>
      </c>
      <c r="BV143" s="21" t="n">
        <v>0</v>
      </c>
    </row>
    <row r="144" ht="19" customHeight="1" s="100" thickBot="1">
      <c r="C144" s="2" t="n"/>
      <c r="E144" s="118">
        <f>E46</f>
        <v/>
      </c>
      <c r="F144" s="103" t="n"/>
      <c r="G144" s="103" t="n"/>
      <c r="H144" s="103" t="n"/>
      <c r="I144" s="103" t="n"/>
      <c r="J144" s="103" t="n"/>
      <c r="K144" s="104" t="n"/>
      <c r="L144" s="119">
        <f>L46</f>
        <v/>
      </c>
      <c r="M144" s="103" t="n"/>
      <c r="N144" s="103" t="n"/>
      <c r="O144" s="104" t="n"/>
      <c r="P144" s="113" t="n">
        <v>0</v>
      </c>
      <c r="Q144" s="103" t="n"/>
      <c r="R144" s="103" t="n"/>
      <c r="S144" s="103" t="n"/>
      <c r="T144" s="103" t="n"/>
      <c r="U144" s="103" t="n"/>
      <c r="V144" s="103" t="n"/>
      <c r="W144" s="104" t="n"/>
      <c r="X144" s="120">
        <f>BU144</f>
        <v/>
      </c>
      <c r="Y144" s="103" t="n"/>
      <c r="Z144" s="103" t="n"/>
      <c r="AA144" s="103" t="n"/>
      <c r="AB144" s="103" t="n"/>
      <c r="AC144" s="103" t="n"/>
      <c r="AD144" s="103" t="n"/>
      <c r="AE144" s="104" t="n"/>
      <c r="AF144" s="107">
        <f>BV144</f>
        <v/>
      </c>
      <c r="AG144" s="103" t="n"/>
      <c r="AH144" s="103" t="n"/>
      <c r="AI144" s="103" t="n"/>
      <c r="AJ144" s="103" t="n"/>
      <c r="AK144" s="103" t="n"/>
      <c r="AL144" s="103" t="n"/>
      <c r="AM144" s="104" t="n"/>
      <c r="AN144" s="116">
        <f>AF144/$X$144*100</f>
        <v/>
      </c>
      <c r="AO144" s="103" t="n"/>
      <c r="AP144" s="103" t="n"/>
      <c r="AQ144" s="103" t="n"/>
      <c r="AR144" s="103" t="n"/>
      <c r="AS144" s="103" t="n"/>
      <c r="AT144" s="103" t="n"/>
      <c r="AU144" s="104" t="n"/>
      <c r="AV144" s="113">
        <f>IF(P144=0, ,P144/X144*1000)</f>
        <v/>
      </c>
      <c r="AW144" s="103" t="n"/>
      <c r="AX144" s="103" t="n"/>
      <c r="AY144" s="103" t="n"/>
      <c r="AZ144" s="103" t="n"/>
      <c r="BA144" s="103" t="n"/>
      <c r="BB144" s="103" t="n"/>
      <c r="BC144" s="104" t="n"/>
      <c r="BD144" s="113">
        <f>IF(P144=0, ,P144/AF144)</f>
        <v/>
      </c>
      <c r="BE144" s="103" t="n"/>
      <c r="BF144" s="103" t="n"/>
      <c r="BG144" s="103" t="n"/>
      <c r="BH144" s="103" t="n"/>
      <c r="BI144" s="103" t="n"/>
      <c r="BJ144" s="104" t="n"/>
      <c r="BT144" s="33" t="n">
        <v>0</v>
      </c>
      <c r="BU144" s="23" t="n">
        <v>0</v>
      </c>
      <c r="BV144" s="21" t="n">
        <v>0</v>
      </c>
    </row>
    <row r="145" ht="19" customHeight="1" s="100" thickBot="1">
      <c r="C145" s="2" t="n"/>
      <c r="E145" s="118">
        <f>E47</f>
        <v/>
      </c>
      <c r="F145" s="103" t="n"/>
      <c r="G145" s="103" t="n"/>
      <c r="H145" s="103" t="n"/>
      <c r="I145" s="103" t="n"/>
      <c r="J145" s="103" t="n"/>
      <c r="K145" s="104" t="n"/>
      <c r="L145" s="119">
        <f>L47</f>
        <v/>
      </c>
      <c r="M145" s="103" t="n"/>
      <c r="N145" s="103" t="n"/>
      <c r="O145" s="104" t="n"/>
      <c r="P145" s="113" t="n">
        <v>0</v>
      </c>
      <c r="Q145" s="103" t="n"/>
      <c r="R145" s="103" t="n"/>
      <c r="S145" s="103" t="n"/>
      <c r="T145" s="103" t="n"/>
      <c r="U145" s="103" t="n"/>
      <c r="V145" s="103" t="n"/>
      <c r="W145" s="104" t="n"/>
      <c r="X145" s="120">
        <f>BU145</f>
        <v/>
      </c>
      <c r="Y145" s="103" t="n"/>
      <c r="Z145" s="103" t="n"/>
      <c r="AA145" s="103" t="n"/>
      <c r="AB145" s="103" t="n"/>
      <c r="AC145" s="103" t="n"/>
      <c r="AD145" s="103" t="n"/>
      <c r="AE145" s="104" t="n"/>
      <c r="AF145" s="107">
        <f>BV145</f>
        <v/>
      </c>
      <c r="AG145" s="103" t="n"/>
      <c r="AH145" s="103" t="n"/>
      <c r="AI145" s="103" t="n"/>
      <c r="AJ145" s="103" t="n"/>
      <c r="AK145" s="103" t="n"/>
      <c r="AL145" s="103" t="n"/>
      <c r="AM145" s="104" t="n"/>
      <c r="AN145" s="116">
        <f>AF145/$X$144*100</f>
        <v/>
      </c>
      <c r="AO145" s="103" t="n"/>
      <c r="AP145" s="103" t="n"/>
      <c r="AQ145" s="103" t="n"/>
      <c r="AR145" s="103" t="n"/>
      <c r="AS145" s="103" t="n"/>
      <c r="AT145" s="103" t="n"/>
      <c r="AU145" s="104" t="n"/>
      <c r="AV145" s="113">
        <f>IF(P145=0, ,P145/X145*1000)</f>
        <v/>
      </c>
      <c r="AW145" s="103" t="n"/>
      <c r="AX145" s="103" t="n"/>
      <c r="AY145" s="103" t="n"/>
      <c r="AZ145" s="103" t="n"/>
      <c r="BA145" s="103" t="n"/>
      <c r="BB145" s="103" t="n"/>
      <c r="BC145" s="104" t="n"/>
      <c r="BD145" s="113">
        <f>IF(P145=0, ,P145/AF145)</f>
        <v/>
      </c>
      <c r="BE145" s="103" t="n"/>
      <c r="BF145" s="103" t="n"/>
      <c r="BG145" s="103" t="n"/>
      <c r="BH145" s="103" t="n"/>
      <c r="BI145" s="103" t="n"/>
      <c r="BJ145" s="104" t="n"/>
      <c r="BT145" s="33" t="n">
        <v>0</v>
      </c>
      <c r="BU145" s="23" t="n">
        <v>0</v>
      </c>
      <c r="BV145" s="21" t="n">
        <v>0</v>
      </c>
    </row>
    <row r="146" ht="19" customHeight="1" s="100" thickBot="1">
      <c r="C146" s="2" t="n"/>
      <c r="E146" s="118">
        <f>E48</f>
        <v/>
      </c>
      <c r="F146" s="103" t="n"/>
      <c r="G146" s="103" t="n"/>
      <c r="H146" s="103" t="n"/>
      <c r="I146" s="103" t="n"/>
      <c r="J146" s="103" t="n"/>
      <c r="K146" s="104" t="n"/>
      <c r="L146" s="119">
        <f>L48</f>
        <v/>
      </c>
      <c r="M146" s="103" t="n"/>
      <c r="N146" s="103" t="n"/>
      <c r="O146" s="104" t="n"/>
      <c r="P146" s="113" t="n">
        <v>0</v>
      </c>
      <c r="Q146" s="103" t="n"/>
      <c r="R146" s="103" t="n"/>
      <c r="S146" s="103" t="n"/>
      <c r="T146" s="103" t="n"/>
      <c r="U146" s="103" t="n"/>
      <c r="V146" s="103" t="n"/>
      <c r="W146" s="104" t="n"/>
      <c r="X146" s="120">
        <f>BU146</f>
        <v/>
      </c>
      <c r="Y146" s="103" t="n"/>
      <c r="Z146" s="103" t="n"/>
      <c r="AA146" s="103" t="n"/>
      <c r="AB146" s="103" t="n"/>
      <c r="AC146" s="103" t="n"/>
      <c r="AD146" s="103" t="n"/>
      <c r="AE146" s="104" t="n"/>
      <c r="AF146" s="107">
        <f>BV146</f>
        <v/>
      </c>
      <c r="AG146" s="103" t="n"/>
      <c r="AH146" s="103" t="n"/>
      <c r="AI146" s="103" t="n"/>
      <c r="AJ146" s="103" t="n"/>
      <c r="AK146" s="103" t="n"/>
      <c r="AL146" s="103" t="n"/>
      <c r="AM146" s="104" t="n"/>
      <c r="AN146" s="116">
        <f>AF146/$X$144*100</f>
        <v/>
      </c>
      <c r="AO146" s="103" t="n"/>
      <c r="AP146" s="103" t="n"/>
      <c r="AQ146" s="103" t="n"/>
      <c r="AR146" s="103" t="n"/>
      <c r="AS146" s="103" t="n"/>
      <c r="AT146" s="103" t="n"/>
      <c r="AU146" s="104" t="n"/>
      <c r="AV146" s="113">
        <f>IF(P146=0, ,P146/X146*1000)</f>
        <v/>
      </c>
      <c r="AW146" s="103" t="n"/>
      <c r="AX146" s="103" t="n"/>
      <c r="AY146" s="103" t="n"/>
      <c r="AZ146" s="103" t="n"/>
      <c r="BA146" s="103" t="n"/>
      <c r="BB146" s="103" t="n"/>
      <c r="BC146" s="104" t="n"/>
      <c r="BD146" s="113">
        <f>IF(P146=0, ,P146/AF146)</f>
        <v/>
      </c>
      <c r="BE146" s="103" t="n"/>
      <c r="BF146" s="103" t="n"/>
      <c r="BG146" s="103" t="n"/>
      <c r="BH146" s="103" t="n"/>
      <c r="BI146" s="103" t="n"/>
      <c r="BJ146" s="104" t="n"/>
      <c r="BT146" s="33" t="n">
        <v>0</v>
      </c>
      <c r="BU146" s="23" t="n">
        <v>0</v>
      </c>
      <c r="BV146" s="21" t="n">
        <v>0</v>
      </c>
    </row>
    <row r="147" ht="19" customHeight="1" s="100" thickBot="1">
      <c r="C147" s="2" t="n"/>
      <c r="E147" s="118">
        <f>E49</f>
        <v/>
      </c>
      <c r="F147" s="103" t="n"/>
      <c r="G147" s="103" t="n"/>
      <c r="H147" s="103" t="n"/>
      <c r="I147" s="103" t="n"/>
      <c r="J147" s="103" t="n"/>
      <c r="K147" s="104" t="n"/>
      <c r="L147" s="119">
        <f>L49</f>
        <v/>
      </c>
      <c r="M147" s="103" t="n"/>
      <c r="N147" s="103" t="n"/>
      <c r="O147" s="104" t="n"/>
      <c r="P147" s="113" t="n">
        <v>0</v>
      </c>
      <c r="Q147" s="103" t="n"/>
      <c r="R147" s="103" t="n"/>
      <c r="S147" s="103" t="n"/>
      <c r="T147" s="103" t="n"/>
      <c r="U147" s="103" t="n"/>
      <c r="V147" s="103" t="n"/>
      <c r="W147" s="104" t="n"/>
      <c r="X147" s="120">
        <f>BU147</f>
        <v/>
      </c>
      <c r="Y147" s="103" t="n"/>
      <c r="Z147" s="103" t="n"/>
      <c r="AA147" s="103" t="n"/>
      <c r="AB147" s="103" t="n"/>
      <c r="AC147" s="103" t="n"/>
      <c r="AD147" s="103" t="n"/>
      <c r="AE147" s="104" t="n"/>
      <c r="AF147" s="107">
        <f>BV147</f>
        <v/>
      </c>
      <c r="AG147" s="103" t="n"/>
      <c r="AH147" s="103" t="n"/>
      <c r="AI147" s="103" t="n"/>
      <c r="AJ147" s="103" t="n"/>
      <c r="AK147" s="103" t="n"/>
      <c r="AL147" s="103" t="n"/>
      <c r="AM147" s="104" t="n"/>
      <c r="AN147" s="116">
        <f>AF147/$X$144*100</f>
        <v/>
      </c>
      <c r="AO147" s="103" t="n"/>
      <c r="AP147" s="103" t="n"/>
      <c r="AQ147" s="103" t="n"/>
      <c r="AR147" s="103" t="n"/>
      <c r="AS147" s="103" t="n"/>
      <c r="AT147" s="103" t="n"/>
      <c r="AU147" s="104" t="n"/>
      <c r="AV147" s="113">
        <f>IF(P147=0, ,P147/X147*1000)</f>
        <v/>
      </c>
      <c r="AW147" s="103" t="n"/>
      <c r="AX147" s="103" t="n"/>
      <c r="AY147" s="103" t="n"/>
      <c r="AZ147" s="103" t="n"/>
      <c r="BA147" s="103" t="n"/>
      <c r="BB147" s="103" t="n"/>
      <c r="BC147" s="104" t="n"/>
      <c r="BD147" s="113">
        <f>IF(P147=0, ,P147/AF147)</f>
        <v/>
      </c>
      <c r="BE147" s="103" t="n"/>
      <c r="BF147" s="103" t="n"/>
      <c r="BG147" s="103" t="n"/>
      <c r="BH147" s="103" t="n"/>
      <c r="BI147" s="103" t="n"/>
      <c r="BJ147" s="104" t="n"/>
      <c r="BT147" s="33" t="n">
        <v>0</v>
      </c>
      <c r="BU147" s="23" t="n">
        <v>0</v>
      </c>
      <c r="BV147" s="21" t="n">
        <v>0</v>
      </c>
    </row>
    <row r="148" ht="19" customHeight="1" s="100" thickBot="1">
      <c r="C148" s="2" t="n"/>
      <c r="E148" s="118">
        <f>E50</f>
        <v/>
      </c>
      <c r="F148" s="103" t="n"/>
      <c r="G148" s="103" t="n"/>
      <c r="H148" s="103" t="n"/>
      <c r="I148" s="103" t="n"/>
      <c r="J148" s="103" t="n"/>
      <c r="K148" s="104" t="n"/>
      <c r="L148" s="119">
        <f>L50</f>
        <v/>
      </c>
      <c r="M148" s="103" t="n"/>
      <c r="N148" s="103" t="n"/>
      <c r="O148" s="104" t="n"/>
      <c r="P148" s="113" t="n">
        <v>0</v>
      </c>
      <c r="Q148" s="103" t="n"/>
      <c r="R148" s="103" t="n"/>
      <c r="S148" s="103" t="n"/>
      <c r="T148" s="103" t="n"/>
      <c r="U148" s="103" t="n"/>
      <c r="V148" s="103" t="n"/>
      <c r="W148" s="104" t="n"/>
      <c r="X148" s="120">
        <f>BU148</f>
        <v/>
      </c>
      <c r="Y148" s="103" t="n"/>
      <c r="Z148" s="103" t="n"/>
      <c r="AA148" s="103" t="n"/>
      <c r="AB148" s="103" t="n"/>
      <c r="AC148" s="103" t="n"/>
      <c r="AD148" s="103" t="n"/>
      <c r="AE148" s="104" t="n"/>
      <c r="AF148" s="107">
        <f>BV148</f>
        <v/>
      </c>
      <c r="AG148" s="103" t="n"/>
      <c r="AH148" s="103" t="n"/>
      <c r="AI148" s="103" t="n"/>
      <c r="AJ148" s="103" t="n"/>
      <c r="AK148" s="103" t="n"/>
      <c r="AL148" s="103" t="n"/>
      <c r="AM148" s="104" t="n"/>
      <c r="AN148" s="116">
        <f>AF148/X148*100</f>
        <v/>
      </c>
      <c r="AO148" s="103" t="n"/>
      <c r="AP148" s="103" t="n"/>
      <c r="AQ148" s="103" t="n"/>
      <c r="AR148" s="103" t="n"/>
      <c r="AS148" s="103" t="n"/>
      <c r="AT148" s="103" t="n"/>
      <c r="AU148" s="104" t="n"/>
      <c r="AV148" s="113">
        <f>IF(P148=0, ,P148/X148*1000)</f>
        <v/>
      </c>
      <c r="AW148" s="103" t="n"/>
      <c r="AX148" s="103" t="n"/>
      <c r="AY148" s="103" t="n"/>
      <c r="AZ148" s="103" t="n"/>
      <c r="BA148" s="103" t="n"/>
      <c r="BB148" s="103" t="n"/>
      <c r="BC148" s="104" t="n"/>
      <c r="BD148" s="113">
        <f>IF(P148=0, ,P148/AF148)</f>
        <v/>
      </c>
      <c r="BE148" s="103" t="n"/>
      <c r="BF148" s="103" t="n"/>
      <c r="BG148" s="103" t="n"/>
      <c r="BH148" s="103" t="n"/>
      <c r="BI148" s="103" t="n"/>
      <c r="BJ148" s="104" t="n"/>
      <c r="BT148" s="33" t="n">
        <v>0</v>
      </c>
      <c r="BU148" s="23" t="n">
        <v>0</v>
      </c>
      <c r="BV148" s="23" t="n">
        <v>0</v>
      </c>
    </row>
    <row r="149" ht="19" customHeight="1" s="100" thickBot="1">
      <c r="C149" s="2" t="n"/>
      <c r="E149" s="118">
        <f>E51</f>
        <v/>
      </c>
      <c r="F149" s="103" t="n"/>
      <c r="G149" s="103" t="n"/>
      <c r="H149" s="103" t="n"/>
      <c r="I149" s="103" t="n"/>
      <c r="J149" s="103" t="n"/>
      <c r="K149" s="104" t="n"/>
      <c r="L149" s="119">
        <f>L51</f>
        <v/>
      </c>
      <c r="M149" s="103" t="n"/>
      <c r="N149" s="103" t="n"/>
      <c r="O149" s="104" t="n"/>
      <c r="P149" s="113" t="n">
        <v>0</v>
      </c>
      <c r="Q149" s="103" t="n"/>
      <c r="R149" s="103" t="n"/>
      <c r="S149" s="103" t="n"/>
      <c r="T149" s="103" t="n"/>
      <c r="U149" s="103" t="n"/>
      <c r="V149" s="103" t="n"/>
      <c r="W149" s="104" t="n"/>
      <c r="X149" s="120">
        <f>BU149</f>
        <v/>
      </c>
      <c r="Y149" s="103" t="n"/>
      <c r="Z149" s="103" t="n"/>
      <c r="AA149" s="103" t="n"/>
      <c r="AB149" s="103" t="n"/>
      <c r="AC149" s="103" t="n"/>
      <c r="AD149" s="103" t="n"/>
      <c r="AE149" s="104" t="n"/>
      <c r="AF149" s="107">
        <f>BV149</f>
        <v/>
      </c>
      <c r="AG149" s="103" t="n"/>
      <c r="AH149" s="103" t="n"/>
      <c r="AI149" s="103" t="n"/>
      <c r="AJ149" s="103" t="n"/>
      <c r="AK149" s="103" t="n"/>
      <c r="AL149" s="103" t="n"/>
      <c r="AM149" s="104" t="n"/>
      <c r="AN149" s="116">
        <f>AF149/$X$144*100</f>
        <v/>
      </c>
      <c r="AO149" s="103" t="n"/>
      <c r="AP149" s="103" t="n"/>
      <c r="AQ149" s="103" t="n"/>
      <c r="AR149" s="103" t="n"/>
      <c r="AS149" s="103" t="n"/>
      <c r="AT149" s="103" t="n"/>
      <c r="AU149" s="104" t="n"/>
      <c r="AV149" s="113">
        <f>IF(P149=0, ,P149/X149*1000)</f>
        <v/>
      </c>
      <c r="AW149" s="103" t="n"/>
      <c r="AX149" s="103" t="n"/>
      <c r="AY149" s="103" t="n"/>
      <c r="AZ149" s="103" t="n"/>
      <c r="BA149" s="103" t="n"/>
      <c r="BB149" s="103" t="n"/>
      <c r="BC149" s="104" t="n"/>
      <c r="BD149" s="113">
        <f>IF(P149=0, ,P149/AF149)</f>
        <v/>
      </c>
      <c r="BE149" s="103" t="n"/>
      <c r="BF149" s="103" t="n"/>
      <c r="BG149" s="103" t="n"/>
      <c r="BH149" s="103" t="n"/>
      <c r="BI149" s="103" t="n"/>
      <c r="BJ149" s="104" t="n"/>
      <c r="BT149" s="33" t="n">
        <v>0</v>
      </c>
      <c r="BU149" s="28" t="n">
        <v>0</v>
      </c>
      <c r="BV149" s="23" t="n">
        <v>0</v>
      </c>
    </row>
    <row r="150" ht="19" customHeight="1" s="100" thickBot="1">
      <c r="C150" s="2" t="n"/>
      <c r="E150" s="118">
        <f>E52</f>
        <v/>
      </c>
      <c r="F150" s="103" t="n"/>
      <c r="G150" s="103" t="n"/>
      <c r="H150" s="103" t="n"/>
      <c r="I150" s="103" t="n"/>
      <c r="J150" s="103" t="n"/>
      <c r="K150" s="104" t="n"/>
      <c r="L150" s="119">
        <f>L52</f>
        <v/>
      </c>
      <c r="M150" s="103" t="n"/>
      <c r="N150" s="103" t="n"/>
      <c r="O150" s="104" t="n"/>
      <c r="P150" s="113" t="n">
        <v>0</v>
      </c>
      <c r="Q150" s="103" t="n"/>
      <c r="R150" s="103" t="n"/>
      <c r="S150" s="103" t="n"/>
      <c r="T150" s="103" t="n"/>
      <c r="U150" s="103" t="n"/>
      <c r="V150" s="103" t="n"/>
      <c r="W150" s="104" t="n"/>
      <c r="X150" s="120">
        <f>BU150</f>
        <v/>
      </c>
      <c r="Y150" s="103" t="n"/>
      <c r="Z150" s="103" t="n"/>
      <c r="AA150" s="103" t="n"/>
      <c r="AB150" s="103" t="n"/>
      <c r="AC150" s="103" t="n"/>
      <c r="AD150" s="103" t="n"/>
      <c r="AE150" s="104" t="n"/>
      <c r="AF150" s="107">
        <f>BV150</f>
        <v/>
      </c>
      <c r="AG150" s="103" t="n"/>
      <c r="AH150" s="103" t="n"/>
      <c r="AI150" s="103" t="n"/>
      <c r="AJ150" s="103" t="n"/>
      <c r="AK150" s="103" t="n"/>
      <c r="AL150" s="103" t="n"/>
      <c r="AM150" s="104" t="n"/>
      <c r="AN150" s="116">
        <f>AF150/$X$144*100</f>
        <v/>
      </c>
      <c r="AO150" s="103" t="n"/>
      <c r="AP150" s="103" t="n"/>
      <c r="AQ150" s="103" t="n"/>
      <c r="AR150" s="103" t="n"/>
      <c r="AS150" s="103" t="n"/>
      <c r="AT150" s="103" t="n"/>
      <c r="AU150" s="104" t="n"/>
      <c r="AV150" s="113">
        <f>IF(P150=0, ,P150/X150*1000)</f>
        <v/>
      </c>
      <c r="AW150" s="103" t="n"/>
      <c r="AX150" s="103" t="n"/>
      <c r="AY150" s="103" t="n"/>
      <c r="AZ150" s="103" t="n"/>
      <c r="BA150" s="103" t="n"/>
      <c r="BB150" s="103" t="n"/>
      <c r="BC150" s="104" t="n"/>
      <c r="BD150" s="113">
        <f>IF(P150=0, ,P150/AF150)</f>
        <v/>
      </c>
      <c r="BE150" s="103" t="n"/>
      <c r="BF150" s="103" t="n"/>
      <c r="BG150" s="103" t="n"/>
      <c r="BH150" s="103" t="n"/>
      <c r="BI150" s="103" t="n"/>
      <c r="BJ150" s="104" t="n"/>
      <c r="BT150" s="33" t="n">
        <v>0</v>
      </c>
      <c r="BU150" s="28" t="n">
        <v>0</v>
      </c>
      <c r="BV150" s="29" t="n">
        <v>0</v>
      </c>
    </row>
    <row r="151" ht="22" customHeight="1" s="100">
      <c r="C151" s="2" t="n"/>
    </row>
    <row r="152" ht="22" customHeight="1" s="100">
      <c r="C152" s="2" t="n"/>
    </row>
    <row r="153" ht="22" customHeight="1" s="100">
      <c r="C153" s="2" t="n"/>
    </row>
    <row r="154" ht="22" customHeight="1" s="100">
      <c r="C154" s="2" t="n"/>
    </row>
    <row r="155" ht="22" customHeight="1" s="100">
      <c r="C155" s="2" t="n"/>
    </row>
    <row r="156" ht="22" customHeight="1" s="100">
      <c r="C156" s="2" t="n"/>
    </row>
    <row r="157" ht="22" customHeight="1" s="100">
      <c r="C157" s="2" t="n"/>
    </row>
    <row r="158" ht="22" customHeight="1" s="100">
      <c r="C158" s="2" t="n"/>
    </row>
    <row r="159" ht="22" customHeight="1" s="100">
      <c r="C159" s="2" t="n"/>
    </row>
    <row r="160" ht="22" customHeight="1" s="100">
      <c r="C160" s="2" t="n"/>
    </row>
  </sheetData>
  <mergeCells count="815">
    <mergeCell ref="L50:O50"/>
    <mergeCell ref="F31:O31"/>
    <mergeCell ref="AN84:AU84"/>
    <mergeCell ref="AN78:AU78"/>
    <mergeCell ref="BD127:BJ127"/>
    <mergeCell ref="AV50:BC50"/>
    <mergeCell ref="L90:O90"/>
    <mergeCell ref="L52:O52"/>
    <mergeCell ref="AN142:AU142"/>
    <mergeCell ref="AN80:AU80"/>
    <mergeCell ref="E79:O79"/>
    <mergeCell ref="AV52:BC52"/>
    <mergeCell ref="AN79:AU79"/>
    <mergeCell ref="AV39:BC39"/>
    <mergeCell ref="BD145:BJ145"/>
    <mergeCell ref="AV70:BC70"/>
    <mergeCell ref="AF87:AM87"/>
    <mergeCell ref="AN144:AU144"/>
    <mergeCell ref="X87:AE87"/>
    <mergeCell ref="P90:W90"/>
    <mergeCell ref="L91:O91"/>
    <mergeCell ref="AF147:AM147"/>
    <mergeCell ref="AN119:AU119"/>
    <mergeCell ref="X62:AE62"/>
    <mergeCell ref="P65:W65"/>
    <mergeCell ref="AV81:BC81"/>
    <mergeCell ref="E67:K67"/>
    <mergeCell ref="AF89:AM89"/>
    <mergeCell ref="E48:K48"/>
    <mergeCell ref="X64:AE64"/>
    <mergeCell ref="BD140:BJ140"/>
    <mergeCell ref="BD148:BJ148"/>
    <mergeCell ref="BD82:BJ82"/>
    <mergeCell ref="L118:O118"/>
    <mergeCell ref="X93:AE93"/>
    <mergeCell ref="L45:O45"/>
    <mergeCell ref="X138:AE138"/>
    <mergeCell ref="AF100:AM100"/>
    <mergeCell ref="P108:W108"/>
    <mergeCell ref="L109:O109"/>
    <mergeCell ref="L147:O147"/>
    <mergeCell ref="AN66:AU66"/>
    <mergeCell ref="AV101:BC101"/>
    <mergeCell ref="AV63:BC63"/>
    <mergeCell ref="P83:W83"/>
    <mergeCell ref="L122:O122"/>
    <mergeCell ref="L119:O119"/>
    <mergeCell ref="AF102:AM102"/>
    <mergeCell ref="P45:W45"/>
    <mergeCell ref="L40:O40"/>
    <mergeCell ref="E110:K110"/>
    <mergeCell ref="AN68:AU68"/>
    <mergeCell ref="P85:W85"/>
    <mergeCell ref="P109:W109"/>
    <mergeCell ref="BD108:BJ108"/>
    <mergeCell ref="AF141:AM141"/>
    <mergeCell ref="P84:W84"/>
    <mergeCell ref="X119:AE119"/>
    <mergeCell ref="P149:W149"/>
    <mergeCell ref="BD141:BJ141"/>
    <mergeCell ref="BD135:BJ135"/>
    <mergeCell ref="P80:W80"/>
    <mergeCell ref="BD97:BJ97"/>
    <mergeCell ref="BD72:BJ72"/>
    <mergeCell ref="AN150:AU150"/>
    <mergeCell ref="L66:O66"/>
    <mergeCell ref="AV106:BC106"/>
    <mergeCell ref="L137:O137"/>
    <mergeCell ref="E92:K92"/>
    <mergeCell ref="AF59:AM59"/>
    <mergeCell ref="X108:AE108"/>
    <mergeCell ref="AV78:BC78"/>
    <mergeCell ref="AN81:AU81"/>
    <mergeCell ref="L106:O106"/>
    <mergeCell ref="P98:W98"/>
    <mergeCell ref="BD136:BJ136"/>
    <mergeCell ref="X89:AE89"/>
    <mergeCell ref="L130:O130"/>
    <mergeCell ref="L93:O93"/>
    <mergeCell ref="L68:O68"/>
    <mergeCell ref="AF32:AM32"/>
    <mergeCell ref="AF88:AM88"/>
    <mergeCell ref="AV145:BC145"/>
    <mergeCell ref="AN145:AU145"/>
    <mergeCell ref="X88:AE88"/>
    <mergeCell ref="E69:K69"/>
    <mergeCell ref="L141:O141"/>
    <mergeCell ref="AV16:BJ16"/>
    <mergeCell ref="X124:AE124"/>
    <mergeCell ref="X72:AE72"/>
    <mergeCell ref="BD88:BJ88"/>
    <mergeCell ref="P106:W106"/>
    <mergeCell ref="AV147:BC147"/>
    <mergeCell ref="AF90:AM90"/>
    <mergeCell ref="P33:W33"/>
    <mergeCell ref="AN147:AU147"/>
    <mergeCell ref="P93:W93"/>
    <mergeCell ref="E108:K108"/>
    <mergeCell ref="BD44:BJ44"/>
    <mergeCell ref="AF27:AM27"/>
    <mergeCell ref="BD146:BJ146"/>
    <mergeCell ref="BD27:BJ27"/>
    <mergeCell ref="BD83:BJ83"/>
    <mergeCell ref="AN99:AU99"/>
    <mergeCell ref="L46:O46"/>
    <mergeCell ref="E72:K72"/>
    <mergeCell ref="AN49:AU49"/>
    <mergeCell ref="L61:O61"/>
    <mergeCell ref="BD85:BJ85"/>
    <mergeCell ref="L48:O48"/>
    <mergeCell ref="AF116:AM116"/>
    <mergeCell ref="P59:W59"/>
    <mergeCell ref="AV73:BC73"/>
    <mergeCell ref="P130:W130"/>
    <mergeCell ref="AN100:AU100"/>
    <mergeCell ref="AF103:AM103"/>
    <mergeCell ref="L125:O125"/>
    <mergeCell ref="AF108:AM108"/>
    <mergeCell ref="P111:W111"/>
    <mergeCell ref="L112:O112"/>
    <mergeCell ref="AN140:AU140"/>
    <mergeCell ref="X83:AE83"/>
    <mergeCell ref="P61:W61"/>
    <mergeCell ref="P86:W86"/>
    <mergeCell ref="AV102:BC102"/>
    <mergeCell ref="AF45:AM45"/>
    <mergeCell ref="AF118:AM118"/>
    <mergeCell ref="AF143:AM143"/>
    <mergeCell ref="E88:K88"/>
    <mergeCell ref="E126:K126"/>
    <mergeCell ref="E82:K82"/>
    <mergeCell ref="BD109:BJ109"/>
    <mergeCell ref="L43:O43"/>
    <mergeCell ref="BD47:BJ47"/>
    <mergeCell ref="AV68:BC68"/>
    <mergeCell ref="P150:W150"/>
    <mergeCell ref="P125:W125"/>
    <mergeCell ref="X85:AE85"/>
    <mergeCell ref="AV84:BC84"/>
    <mergeCell ref="BD111:BJ111"/>
    <mergeCell ref="BD38:BJ38"/>
    <mergeCell ref="AF40:AM40"/>
    <mergeCell ref="C2:BL2"/>
    <mergeCell ref="L138:O138"/>
    <mergeCell ref="AV79:BC79"/>
    <mergeCell ref="AF71:AM71"/>
    <mergeCell ref="AV128:BC128"/>
    <mergeCell ref="AN87:AU87"/>
    <mergeCell ref="X139:AE139"/>
    <mergeCell ref="L143:O143"/>
    <mergeCell ref="AN97:AU97"/>
    <mergeCell ref="AF37:AM37"/>
    <mergeCell ref="X40:AE40"/>
    <mergeCell ref="X111:AE111"/>
    <mergeCell ref="AF98:AM98"/>
    <mergeCell ref="P41:W41"/>
    <mergeCell ref="AF73:AM73"/>
    <mergeCell ref="AN89:AU89"/>
    <mergeCell ref="X98:AE98"/>
    <mergeCell ref="AN88:AU88"/>
    <mergeCell ref="P105:W105"/>
    <mergeCell ref="X140:AE140"/>
    <mergeCell ref="P99:W99"/>
    <mergeCell ref="E145:K145"/>
    <mergeCell ref="E139:K139"/>
    <mergeCell ref="P49:W49"/>
    <mergeCell ref="BD91:BJ91"/>
    <mergeCell ref="AF93:AM93"/>
    <mergeCell ref="P107:W107"/>
    <mergeCell ref="P101:W101"/>
    <mergeCell ref="BD106:BJ106"/>
    <mergeCell ref="BD93:BJ93"/>
    <mergeCell ref="L87:O87"/>
    <mergeCell ref="AN121:AU121"/>
    <mergeCell ref="AF124:AM124"/>
    <mergeCell ref="L62:O62"/>
    <mergeCell ref="AV28:BC28"/>
    <mergeCell ref="AN42:AU42"/>
    <mergeCell ref="AV99:BC99"/>
    <mergeCell ref="AF42:AM42"/>
    <mergeCell ref="X45:AE45"/>
    <mergeCell ref="E63:K63"/>
    <mergeCell ref="AN102:AU102"/>
    <mergeCell ref="P102:W102"/>
    <mergeCell ref="AN52:AU52"/>
    <mergeCell ref="L89:O89"/>
    <mergeCell ref="AF126:AM126"/>
    <mergeCell ref="BD28:BJ28"/>
    <mergeCell ref="L64:O64"/>
    <mergeCell ref="AF47:AM47"/>
    <mergeCell ref="AV92:BC92"/>
    <mergeCell ref="X109:AE109"/>
    <mergeCell ref="E90:K90"/>
    <mergeCell ref="AF109:AM109"/>
    <mergeCell ref="L51:O51"/>
    <mergeCell ref="AV116:BC116"/>
    <mergeCell ref="AN141:AU141"/>
    <mergeCell ref="X84:AE84"/>
    <mergeCell ref="E37:O37"/>
    <mergeCell ref="AN116:AU116"/>
    <mergeCell ref="AV103:BC103"/>
    <mergeCell ref="E97:O97"/>
    <mergeCell ref="AF46:AM46"/>
    <mergeCell ref="AF119:AM119"/>
    <mergeCell ref="P127:W127"/>
    <mergeCell ref="AN37:AU37"/>
    <mergeCell ref="L128:O128"/>
    <mergeCell ref="AF111:AM111"/>
    <mergeCell ref="X99:AE99"/>
    <mergeCell ref="BD119:BJ119"/>
    <mergeCell ref="E119:K119"/>
    <mergeCell ref="AV118:BC118"/>
    <mergeCell ref="AF61:AM61"/>
    <mergeCell ref="AN143:AU143"/>
    <mergeCell ref="X86:AE86"/>
    <mergeCell ref="X135:AE135"/>
    <mergeCell ref="BD40:BJ40"/>
    <mergeCell ref="P135:W135"/>
    <mergeCell ref="AF48:AM48"/>
    <mergeCell ref="E91:K91"/>
    <mergeCell ref="E85:K85"/>
    <mergeCell ref="X101:AE101"/>
    <mergeCell ref="E98:O98"/>
    <mergeCell ref="BD104:BJ104"/>
    <mergeCell ref="E93:K93"/>
    <mergeCell ref="BD41:BJ41"/>
    <mergeCell ref="L82:O82"/>
    <mergeCell ref="AV129:BC129"/>
    <mergeCell ref="AV29:BC29"/>
    <mergeCell ref="AN32:AU32"/>
    <mergeCell ref="AN63:AU63"/>
    <mergeCell ref="E122:K122"/>
    <mergeCell ref="AF137:AM137"/>
    <mergeCell ref="AV121:BC121"/>
    <mergeCell ref="BD105:BJ105"/>
    <mergeCell ref="BD43:BJ43"/>
    <mergeCell ref="AN109:AU109"/>
    <mergeCell ref="L146:O146"/>
    <mergeCell ref="AN47:AU47"/>
    <mergeCell ref="X112:AE112"/>
    <mergeCell ref="AV131:BC131"/>
    <mergeCell ref="AV87:BC87"/>
    <mergeCell ref="X33:AE33"/>
    <mergeCell ref="P8:BJ8"/>
    <mergeCell ref="AN90:AU90"/>
    <mergeCell ref="P82:W82"/>
    <mergeCell ref="X104:AE104"/>
    <mergeCell ref="AF139:AM139"/>
    <mergeCell ref="E27:O27"/>
    <mergeCell ref="E147:K147"/>
    <mergeCell ref="BD130:BJ130"/>
    <mergeCell ref="AN27:AU27"/>
    <mergeCell ref="AN98:AU98"/>
    <mergeCell ref="X41:AE41"/>
    <mergeCell ref="E116:O116"/>
    <mergeCell ref="AV89:BC89"/>
    <mergeCell ref="BD117:BJ117"/>
    <mergeCell ref="P146:W146"/>
    <mergeCell ref="X106:AE106"/>
    <mergeCell ref="E40:K40"/>
    <mergeCell ref="P121:W121"/>
    <mergeCell ref="AV49:BC49"/>
    <mergeCell ref="BD107:BJ107"/>
    <mergeCell ref="E104:K104"/>
    <mergeCell ref="P123:W123"/>
    <mergeCell ref="P110:W110"/>
    <mergeCell ref="X130:AE130"/>
    <mergeCell ref="AV100:BC100"/>
    <mergeCell ref="L72:O72"/>
    <mergeCell ref="AF117:AM117"/>
    <mergeCell ref="AV124:BC124"/>
    <mergeCell ref="AF67:AM67"/>
    <mergeCell ref="AN124:AU124"/>
    <mergeCell ref="X67:AE67"/>
    <mergeCell ref="AN118:AU118"/>
    <mergeCell ref="X61:AE61"/>
    <mergeCell ref="AV142:BC142"/>
    <mergeCell ref="L65:O65"/>
    <mergeCell ref="AN45:AU45"/>
    <mergeCell ref="AV80:BC80"/>
    <mergeCell ref="E66:K66"/>
    <mergeCell ref="E38:O38"/>
    <mergeCell ref="AF69:AM69"/>
    <mergeCell ref="AV126:BC126"/>
    <mergeCell ref="AN126:AU126"/>
    <mergeCell ref="P72:W72"/>
    <mergeCell ref="X125:AE125"/>
    <mergeCell ref="AF125:AM125"/>
    <mergeCell ref="E106:K106"/>
    <mergeCell ref="BD31:BJ31"/>
    <mergeCell ref="AF112:AM112"/>
    <mergeCell ref="F29:O29"/>
    <mergeCell ref="AV144:BC144"/>
    <mergeCell ref="E130:K130"/>
    <mergeCell ref="E68:K68"/>
    <mergeCell ref="AF62:AM62"/>
    <mergeCell ref="BD125:BJ125"/>
    <mergeCell ref="X136:AE136"/>
    <mergeCell ref="AF127:AM127"/>
    <mergeCell ref="P70:W70"/>
    <mergeCell ref="P136:W136"/>
    <mergeCell ref="X127:AE127"/>
    <mergeCell ref="E141:K141"/>
    <mergeCell ref="P6:BJ6"/>
    <mergeCell ref="BD62:BJ62"/>
    <mergeCell ref="BD122:BJ122"/>
    <mergeCell ref="AF64:AM64"/>
    <mergeCell ref="E107:K107"/>
    <mergeCell ref="AF51:AM51"/>
    <mergeCell ref="E143:K143"/>
    <mergeCell ref="AN71:AU71"/>
    <mergeCell ref="BD64:BJ64"/>
    <mergeCell ref="BD120:BJ120"/>
    <mergeCell ref="AN58:AU58"/>
    <mergeCell ref="L83:O83"/>
    <mergeCell ref="AV37:BC37"/>
    <mergeCell ref="F32:O32"/>
    <mergeCell ref="AF38:AM38"/>
    <mergeCell ref="AN73:AU73"/>
    <mergeCell ref="AV60:BC60"/>
    <mergeCell ref="E46:K46"/>
    <mergeCell ref="AV45:BC45"/>
    <mergeCell ref="L85:O85"/>
    <mergeCell ref="AV32:BC32"/>
    <mergeCell ref="AV137:BC137"/>
    <mergeCell ref="X105:AE105"/>
    <mergeCell ref="AN137:AU137"/>
    <mergeCell ref="X43:AE43"/>
    <mergeCell ref="E61:K61"/>
    <mergeCell ref="L84:O84"/>
    <mergeCell ref="AF140:AM140"/>
    <mergeCell ref="AN112:AU112"/>
    <mergeCell ref="L149:O149"/>
    <mergeCell ref="P129:W129"/>
    <mergeCell ref="X120:AE120"/>
    <mergeCell ref="E117:O117"/>
    <mergeCell ref="AV90:BC90"/>
    <mergeCell ref="AF33:AM33"/>
    <mergeCell ref="AF82:AM82"/>
    <mergeCell ref="X107:AE107"/>
    <mergeCell ref="E125:K125"/>
    <mergeCell ref="AV139:BC139"/>
    <mergeCell ref="E41:K41"/>
    <mergeCell ref="L80:O80"/>
    <mergeCell ref="E112:K112"/>
    <mergeCell ref="P60:W60"/>
    <mergeCell ref="P131:W131"/>
    <mergeCell ref="AV27:BC27"/>
    <mergeCell ref="X149:AE149"/>
    <mergeCell ref="E43:K43"/>
    <mergeCell ref="P124:W124"/>
    <mergeCell ref="AV42:BC42"/>
    <mergeCell ref="AV58:BC58"/>
    <mergeCell ref="BD110:BJ110"/>
    <mergeCell ref="AV150:BC150"/>
    <mergeCell ref="P126:W126"/>
    <mergeCell ref="L140:O140"/>
    <mergeCell ref="AN59:AU59"/>
    <mergeCell ref="AN130:AU130"/>
    <mergeCell ref="AN46:AU46"/>
    <mergeCell ref="BD39:BJ39"/>
    <mergeCell ref="AN117:AU117"/>
    <mergeCell ref="E138:K138"/>
    <mergeCell ref="AN61:AU61"/>
    <mergeCell ref="AF135:AM135"/>
    <mergeCell ref="P78:W78"/>
    <mergeCell ref="AN48:AU48"/>
    <mergeCell ref="AF122:AM122"/>
    <mergeCell ref="AF72:AM72"/>
    <mergeCell ref="AN125:AU125"/>
    <mergeCell ref="P71:W71"/>
    <mergeCell ref="P142:W142"/>
    <mergeCell ref="P58:W58"/>
    <mergeCell ref="BD128:BJ128"/>
    <mergeCell ref="AF136:AM136"/>
    <mergeCell ref="P79:W79"/>
    <mergeCell ref="AN127:AU127"/>
    <mergeCell ref="X70:AE70"/>
    <mergeCell ref="P73:W73"/>
    <mergeCell ref="P144:W144"/>
    <mergeCell ref="BD65:BJ65"/>
    <mergeCell ref="X32:AE32"/>
    <mergeCell ref="AV109:BC109"/>
    <mergeCell ref="AV47:BC47"/>
    <mergeCell ref="AV71:BC71"/>
    <mergeCell ref="L111:O111"/>
    <mergeCell ref="BD129:BJ129"/>
    <mergeCell ref="AF148:AM148"/>
    <mergeCell ref="AN139:AU139"/>
    <mergeCell ref="X82:AE82"/>
    <mergeCell ref="L86:O86"/>
    <mergeCell ref="AV138:BC138"/>
    <mergeCell ref="AN138:AU138"/>
    <mergeCell ref="E62:K62"/>
    <mergeCell ref="L101:O101"/>
    <mergeCell ref="AF146:AM146"/>
    <mergeCell ref="X146:AE146"/>
    <mergeCell ref="L150:O150"/>
    <mergeCell ref="AV48:BC48"/>
    <mergeCell ref="AN51:AU51"/>
    <mergeCell ref="AN122:AU122"/>
    <mergeCell ref="X65:AE65"/>
    <mergeCell ref="X121:AE121"/>
    <mergeCell ref="AV140:BC140"/>
    <mergeCell ref="AF83:AM83"/>
    <mergeCell ref="E64:K64"/>
    <mergeCell ref="E51:K51"/>
    <mergeCell ref="X58:AE58"/>
    <mergeCell ref="X123:AE123"/>
    <mergeCell ref="AF85:AM85"/>
    <mergeCell ref="P28:W28"/>
    <mergeCell ref="E128:K128"/>
    <mergeCell ref="X60:AE60"/>
    <mergeCell ref="E65:K65"/>
    <mergeCell ref="P30:W30"/>
    <mergeCell ref="AN67:AU67"/>
    <mergeCell ref="L104:O104"/>
    <mergeCell ref="BD78:BJ78"/>
    <mergeCell ref="L41:O41"/>
    <mergeCell ref="AV66:BC66"/>
    <mergeCell ref="AN69:AU69"/>
    <mergeCell ref="BD142:BJ142"/>
    <mergeCell ref="BD80:BJ80"/>
    <mergeCell ref="P104:W104"/>
    <mergeCell ref="L105:O105"/>
    <mergeCell ref="AV59:BC59"/>
    <mergeCell ref="L99:O99"/>
    <mergeCell ref="AV46:BC46"/>
    <mergeCell ref="L49:O49"/>
    <mergeCell ref="E146:K146"/>
    <mergeCell ref="AV61:BC61"/>
    <mergeCell ref="AN64:AU64"/>
    <mergeCell ref="AN135:AU135"/>
    <mergeCell ref="X78:AE78"/>
    <mergeCell ref="P81:W81"/>
    <mergeCell ref="L67:O67"/>
    <mergeCell ref="P145:W145"/>
    <mergeCell ref="E39:K39"/>
    <mergeCell ref="BD131:BJ131"/>
    <mergeCell ref="BD33:BJ33"/>
    <mergeCell ref="X73:AE73"/>
    <mergeCell ref="P147:W147"/>
    <mergeCell ref="E103:K103"/>
    <mergeCell ref="L127:O127"/>
    <mergeCell ref="AN17:AU17"/>
    <mergeCell ref="AV148:BC148"/>
    <mergeCell ref="AF91:AM91"/>
    <mergeCell ref="L102:O102"/>
    <mergeCell ref="AN82:AU82"/>
    <mergeCell ref="AN148:AU148"/>
    <mergeCell ref="AF84:AM84"/>
    <mergeCell ref="BD68:BJ68"/>
    <mergeCell ref="P92:W92"/>
    <mergeCell ref="AN146:AU146"/>
    <mergeCell ref="AF149:AM149"/>
    <mergeCell ref="BD84:BJ84"/>
    <mergeCell ref="AV143:BC143"/>
    <mergeCell ref="AF86:AM86"/>
    <mergeCell ref="P29:W29"/>
    <mergeCell ref="BD149:BJ149"/>
    <mergeCell ref="P100:W100"/>
    <mergeCell ref="AF101:AM101"/>
    <mergeCell ref="P44:W44"/>
    <mergeCell ref="BD86:BJ86"/>
    <mergeCell ref="P31:W31"/>
    <mergeCell ref="AN108:AU108"/>
    <mergeCell ref="BD79:BJ79"/>
    <mergeCell ref="BD150:BJ150"/>
    <mergeCell ref="L120:O120"/>
    <mergeCell ref="BD144:BJ144"/>
    <mergeCell ref="AV67:BC67"/>
    <mergeCell ref="L107:O107"/>
    <mergeCell ref="AV97:BC97"/>
    <mergeCell ref="BD81:BJ81"/>
    <mergeCell ref="E83:K83"/>
    <mergeCell ref="AV69:BC69"/>
    <mergeCell ref="AN72:AU72"/>
    <mergeCell ref="X142:AE142"/>
    <mergeCell ref="P120:W120"/>
    <mergeCell ref="X80:AE80"/>
    <mergeCell ref="L121:O121"/>
    <mergeCell ref="AF104:AM104"/>
    <mergeCell ref="L42:O42"/>
    <mergeCell ref="AV111:BC111"/>
    <mergeCell ref="AN136:AU136"/>
    <mergeCell ref="X79:AE79"/>
    <mergeCell ref="AV98:BC98"/>
    <mergeCell ref="AF41:AM41"/>
    <mergeCell ref="E84:K84"/>
    <mergeCell ref="AF106:AM106"/>
    <mergeCell ref="L39:O39"/>
    <mergeCell ref="E149:K149"/>
    <mergeCell ref="AV64:BC64"/>
    <mergeCell ref="X81:AE81"/>
    <mergeCell ref="AF99:AM99"/>
    <mergeCell ref="P42:W42"/>
    <mergeCell ref="E86:K86"/>
    <mergeCell ref="E80:K80"/>
    <mergeCell ref="P88:W88"/>
    <mergeCell ref="P148:W148"/>
    <mergeCell ref="BD99:BJ99"/>
    <mergeCell ref="X110:AE110"/>
    <mergeCell ref="E144:K144"/>
    <mergeCell ref="BD49:BJ49"/>
    <mergeCell ref="AF130:AM130"/>
    <mergeCell ref="BD30:BJ30"/>
    <mergeCell ref="BD101:BJ101"/>
    <mergeCell ref="E81:K81"/>
    <mergeCell ref="AN83:AU83"/>
    <mergeCell ref="BD138:BJ138"/>
    <mergeCell ref="L70:O70"/>
    <mergeCell ref="AN91:AU91"/>
    <mergeCell ref="AV82:BC82"/>
    <mergeCell ref="X28:AE28"/>
    <mergeCell ref="AN85:AU85"/>
    <mergeCell ref="E78:O78"/>
    <mergeCell ref="L47:O47"/>
    <mergeCell ref="P39:W39"/>
    <mergeCell ref="X92:AE92"/>
    <mergeCell ref="AN149:AU149"/>
    <mergeCell ref="X30:AE30"/>
    <mergeCell ref="X42:AE42"/>
    <mergeCell ref="AV86:BC86"/>
    <mergeCell ref="P116:W116"/>
    <mergeCell ref="P11:BJ11"/>
    <mergeCell ref="AN86:AU86"/>
    <mergeCell ref="X29:AE29"/>
    <mergeCell ref="P32:W32"/>
    <mergeCell ref="P103:W103"/>
    <mergeCell ref="P37:W37"/>
    <mergeCell ref="P97:W97"/>
    <mergeCell ref="AV44:BC44"/>
    <mergeCell ref="BD29:BJ29"/>
    <mergeCell ref="X69:AE69"/>
    <mergeCell ref="P47:W47"/>
    <mergeCell ref="AF31:AM31"/>
    <mergeCell ref="E29:E33"/>
    <mergeCell ref="AV108:BC108"/>
    <mergeCell ref="AN111:AU111"/>
    <mergeCell ref="AN38:AU38"/>
    <mergeCell ref="L129:O129"/>
    <mergeCell ref="BD87:BJ87"/>
    <mergeCell ref="L123:O123"/>
    <mergeCell ref="BD147:BJ147"/>
    <mergeCell ref="BD37:BJ37"/>
    <mergeCell ref="AF105:AM105"/>
    <mergeCell ref="L60:O60"/>
    <mergeCell ref="AN40:AU40"/>
    <mergeCell ref="AF43:AM43"/>
    <mergeCell ref="BD89:BJ89"/>
    <mergeCell ref="AF120:AM120"/>
    <mergeCell ref="P63:W63"/>
    <mergeCell ref="AN33:AU33"/>
    <mergeCell ref="L124:O124"/>
    <mergeCell ref="AN104:AU104"/>
    <mergeCell ref="P50:W50"/>
    <mergeCell ref="AF107:AM107"/>
    <mergeCell ref="E135:O135"/>
    <mergeCell ref="X131:AE131"/>
    <mergeCell ref="P52:W52"/>
    <mergeCell ref="E28:O28"/>
    <mergeCell ref="P27:W27"/>
    <mergeCell ref="BD100:BJ100"/>
    <mergeCell ref="E129:K129"/>
    <mergeCell ref="BD50:BJ50"/>
    <mergeCell ref="AV88:BC88"/>
    <mergeCell ref="P91:W91"/>
    <mergeCell ref="X126:AE126"/>
    <mergeCell ref="BD42:BJ42"/>
    <mergeCell ref="BD102:BJ102"/>
    <mergeCell ref="E59:O59"/>
    <mergeCell ref="E131:K131"/>
    <mergeCell ref="AN106:AU106"/>
    <mergeCell ref="E87:K87"/>
    <mergeCell ref="BD52:BJ52"/>
    <mergeCell ref="AN93:AU93"/>
    <mergeCell ref="AV117:BC117"/>
    <mergeCell ref="L71:O71"/>
    <mergeCell ref="L142:O142"/>
    <mergeCell ref="AV83:BC83"/>
    <mergeCell ref="X100:AE100"/>
    <mergeCell ref="AV119:BC119"/>
    <mergeCell ref="L73:O73"/>
    <mergeCell ref="E105:K105"/>
    <mergeCell ref="E99:K99"/>
    <mergeCell ref="AN101:AU101"/>
    <mergeCell ref="X44:AE44"/>
    <mergeCell ref="P118:W118"/>
    <mergeCell ref="AN28:AU28"/>
    <mergeCell ref="AV85:BC85"/>
    <mergeCell ref="AF28:AM28"/>
    <mergeCell ref="E49:K49"/>
    <mergeCell ref="X31:AE31"/>
    <mergeCell ref="X102:AE102"/>
    <mergeCell ref="AV112:BC112"/>
    <mergeCell ref="X129:AE129"/>
    <mergeCell ref="BD143:BJ143"/>
    <mergeCell ref="P117:W117"/>
    <mergeCell ref="P12:BJ12"/>
    <mergeCell ref="E101:K101"/>
    <mergeCell ref="AF39:AM39"/>
    <mergeCell ref="AN92:AU92"/>
    <mergeCell ref="P38:W38"/>
    <mergeCell ref="AN30:AU30"/>
    <mergeCell ref="X39:AE39"/>
    <mergeCell ref="AF70:AM70"/>
    <mergeCell ref="AV127:BC127"/>
    <mergeCell ref="X144:AE144"/>
    <mergeCell ref="L148:O148"/>
    <mergeCell ref="E100:K100"/>
    <mergeCell ref="L139:O139"/>
    <mergeCell ref="P119:W119"/>
    <mergeCell ref="BD70:BJ70"/>
    <mergeCell ref="AF97:AM97"/>
    <mergeCell ref="P40:W40"/>
    <mergeCell ref="X97:AE97"/>
    <mergeCell ref="BD32:BJ32"/>
    <mergeCell ref="E102:K102"/>
    <mergeCell ref="BD63:BJ63"/>
    <mergeCell ref="AF128:AM128"/>
    <mergeCell ref="X128:AE128"/>
    <mergeCell ref="AV38:BC38"/>
    <mergeCell ref="AN41:AU41"/>
    <mergeCell ref="BD90:BJ90"/>
    <mergeCell ref="X49:AE49"/>
    <mergeCell ref="E127:K127"/>
    <mergeCell ref="AV122:BC122"/>
    <mergeCell ref="AF121:AM121"/>
    <mergeCell ref="AN105:AU105"/>
    <mergeCell ref="AN43:AU43"/>
    <mergeCell ref="AF58:AM58"/>
    <mergeCell ref="BD121:BJ121"/>
    <mergeCell ref="AF129:AM129"/>
    <mergeCell ref="AN120:AU120"/>
    <mergeCell ref="X63:AE63"/>
    <mergeCell ref="P66:W66"/>
    <mergeCell ref="AV107:BC107"/>
    <mergeCell ref="AV33:BC33"/>
    <mergeCell ref="AF50:AM50"/>
    <mergeCell ref="AN107:AU107"/>
    <mergeCell ref="X50:AE50"/>
    <mergeCell ref="AF110:AM110"/>
    <mergeCell ref="AF123:AM123"/>
    <mergeCell ref="P137:W137"/>
    <mergeCell ref="P7:BJ7"/>
    <mergeCell ref="AF60:AM60"/>
    <mergeCell ref="BD123:BJ123"/>
    <mergeCell ref="X90:AE90"/>
    <mergeCell ref="P68:W68"/>
    <mergeCell ref="E136:O136"/>
    <mergeCell ref="AF52:AM52"/>
    <mergeCell ref="BD60:BJ60"/>
    <mergeCell ref="E89:K89"/>
    <mergeCell ref="BD116:BJ116"/>
    <mergeCell ref="X27:AE27"/>
    <mergeCell ref="BD103:BJ103"/>
    <mergeCell ref="AV104:BC104"/>
    <mergeCell ref="L144:O144"/>
    <mergeCell ref="E124:K124"/>
    <mergeCell ref="BD118:BJ118"/>
    <mergeCell ref="E120:K120"/>
    <mergeCell ref="BD45:BJ45"/>
    <mergeCell ref="L81:O81"/>
    <mergeCell ref="AF49:AM49"/>
    <mergeCell ref="X52:AE52"/>
    <mergeCell ref="X150:AE150"/>
    <mergeCell ref="L145:O145"/>
    <mergeCell ref="L110:O110"/>
    <mergeCell ref="X116:AE116"/>
    <mergeCell ref="AN29:AU29"/>
    <mergeCell ref="AV135:BC135"/>
    <mergeCell ref="AF29:AM29"/>
    <mergeCell ref="P46:W46"/>
    <mergeCell ref="E50:K50"/>
    <mergeCell ref="X37:AE37"/>
    <mergeCell ref="AV51:BC51"/>
    <mergeCell ref="AF78:AM78"/>
    <mergeCell ref="AF65:AM65"/>
    <mergeCell ref="X103:AE103"/>
    <mergeCell ref="E121:K121"/>
    <mergeCell ref="E42:K42"/>
    <mergeCell ref="AN44:AU44"/>
    <mergeCell ref="AN110:AU110"/>
    <mergeCell ref="AF44:AM44"/>
    <mergeCell ref="X47:AE47"/>
    <mergeCell ref="X118:AE118"/>
    <mergeCell ref="AN31:AU31"/>
    <mergeCell ref="X145:AE145"/>
    <mergeCell ref="P48:W48"/>
    <mergeCell ref="E52:K52"/>
    <mergeCell ref="AF80:AM80"/>
    <mergeCell ref="E123:K123"/>
    <mergeCell ref="E150:K150"/>
    <mergeCell ref="E44:K44"/>
    <mergeCell ref="BD71:BJ71"/>
    <mergeCell ref="X38:AE38"/>
    <mergeCell ref="BD58:BJ58"/>
    <mergeCell ref="P112:W112"/>
    <mergeCell ref="X147:AE147"/>
    <mergeCell ref="AN62:AU62"/>
    <mergeCell ref="X122:AE122"/>
    <mergeCell ref="P122:W122"/>
    <mergeCell ref="AV40:BC40"/>
    <mergeCell ref="BD73:BJ73"/>
    <mergeCell ref="BD98:BJ98"/>
    <mergeCell ref="P43:W43"/>
    <mergeCell ref="L92:O92"/>
    <mergeCell ref="BD48:BJ48"/>
    <mergeCell ref="E118:K118"/>
    <mergeCell ref="AN128:AU128"/>
    <mergeCell ref="X71:AE71"/>
    <mergeCell ref="AF131:AM131"/>
    <mergeCell ref="AV41:BC41"/>
    <mergeCell ref="AV146:BC146"/>
    <mergeCell ref="L69:O69"/>
    <mergeCell ref="L44:O44"/>
    <mergeCell ref="P139:W139"/>
    <mergeCell ref="E70:K70"/>
    <mergeCell ref="AV65:BC65"/>
    <mergeCell ref="P138:W138"/>
    <mergeCell ref="BD124:BJ124"/>
    <mergeCell ref="AV123:BC123"/>
    <mergeCell ref="AF66:AM66"/>
    <mergeCell ref="X91:AE91"/>
    <mergeCell ref="X66:AE66"/>
    <mergeCell ref="P69:W69"/>
    <mergeCell ref="E47:K47"/>
    <mergeCell ref="E109:K109"/>
    <mergeCell ref="AV110:BC110"/>
    <mergeCell ref="AN123:AU123"/>
    <mergeCell ref="P140:W140"/>
    <mergeCell ref="P10:BJ10"/>
    <mergeCell ref="BD66:BJ66"/>
    <mergeCell ref="BD126:BJ126"/>
    <mergeCell ref="AV130:BC130"/>
    <mergeCell ref="AF68:AM68"/>
    <mergeCell ref="AV105:BC105"/>
    <mergeCell ref="E111:K111"/>
    <mergeCell ref="AV43:BC43"/>
    <mergeCell ref="AV141:BC141"/>
    <mergeCell ref="BD59:BJ59"/>
    <mergeCell ref="BD46:BJ46"/>
    <mergeCell ref="E140:K140"/>
    <mergeCell ref="AV72:BC72"/>
    <mergeCell ref="F30:O30"/>
    <mergeCell ref="BD61:BJ61"/>
    <mergeCell ref="AF142:AM142"/>
    <mergeCell ref="X117:AE117"/>
    <mergeCell ref="AV136:BC136"/>
    <mergeCell ref="AF79:AM79"/>
    <mergeCell ref="AN39:AU39"/>
    <mergeCell ref="AF150:AM150"/>
    <mergeCell ref="AN70:AU70"/>
    <mergeCell ref="AV30:BC30"/>
    <mergeCell ref="E60:K60"/>
    <mergeCell ref="P87:W87"/>
    <mergeCell ref="AF144:AM144"/>
    <mergeCell ref="L88:O88"/>
    <mergeCell ref="L126:O126"/>
    <mergeCell ref="X59:AE59"/>
    <mergeCell ref="P62:W62"/>
    <mergeCell ref="AN103:AU103"/>
    <mergeCell ref="X46:AE46"/>
    <mergeCell ref="AF81:AM81"/>
    <mergeCell ref="P89:W89"/>
    <mergeCell ref="E45:K45"/>
    <mergeCell ref="P64:W64"/>
    <mergeCell ref="E58:O58"/>
    <mergeCell ref="AV31:BC31"/>
    <mergeCell ref="BD137:BJ137"/>
    <mergeCell ref="AF145:AM145"/>
    <mergeCell ref="X48:AE48"/>
    <mergeCell ref="P51:W51"/>
    <mergeCell ref="L100:O100"/>
    <mergeCell ref="X148:AE148"/>
    <mergeCell ref="BD112:BJ112"/>
    <mergeCell ref="AV125:BC125"/>
    <mergeCell ref="P128:W128"/>
    <mergeCell ref="BD139:BJ139"/>
    <mergeCell ref="AV62:BC62"/>
    <mergeCell ref="AN65:AU65"/>
    <mergeCell ref="L108:O108"/>
    <mergeCell ref="BD51:BJ51"/>
    <mergeCell ref="AN129:AU129"/>
    <mergeCell ref="AV120:BC120"/>
    <mergeCell ref="AF63:AM63"/>
    <mergeCell ref="AV91:BC91"/>
    <mergeCell ref="L131:O131"/>
    <mergeCell ref="AN50:AU50"/>
    <mergeCell ref="X137:AE137"/>
    <mergeCell ref="P67:W67"/>
    <mergeCell ref="E71:K71"/>
    <mergeCell ref="E142:K142"/>
    <mergeCell ref="L103:O103"/>
    <mergeCell ref="AN60:AU60"/>
    <mergeCell ref="AN131:AU131"/>
    <mergeCell ref="X68:AE68"/>
    <mergeCell ref="AV93:BC93"/>
    <mergeCell ref="AF92:AM92"/>
    <mergeCell ref="AV149:BC149"/>
    <mergeCell ref="AF30:AM30"/>
    <mergeCell ref="E73:K73"/>
    <mergeCell ref="AF138:AM138"/>
    <mergeCell ref="X141:AE141"/>
    <mergeCell ref="P141:W141"/>
    <mergeCell ref="BD92:BJ92"/>
    <mergeCell ref="X51:AE51"/>
    <mergeCell ref="F33:O33"/>
    <mergeCell ref="BD67:BJ67"/>
    <mergeCell ref="E137:K137"/>
    <mergeCell ref="X143:AE143"/>
    <mergeCell ref="P143:W143"/>
    <mergeCell ref="E148:K148"/>
    <mergeCell ref="BD69:BJ69"/>
    <mergeCell ref="L63:O63"/>
  </mergeCells>
  <pageMargins left="0" right="0" top="0" bottom="0" header="0.3149606299212598" footer="0.3149606299212598"/>
  <pageSetup orientation="portrait" paperSize="9" scale="8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2025-02-18T06:27:14Z</dcterms:created>
  <dcterms:modified xsi:type="dcterms:W3CDTF">2026-07-28T01:03:12Z</dcterms:modified>
  <cp:lastModifiedBy>규빈 노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Fasoo_Trace_ID" fmtid="{D5CDD505-2E9C-101B-9397-08002B2CF9AE}" pid="2">
    <vt:lpwstr>eyAibm9kZUNvdW50IjogNSwgIm5vZGUxIiA6IHsiZHNkIjoiMDEwMDAwMDAwMDAwMTg5NCIsImxvZ1RpbWUiOiIyMDI2LTAzLTI0VDA4OjMyOjQyWiIsInBJRCI6MSwicHJvY2Vzc0lkIjoyMDczNiwicHJvY2Vzc05hbWUiOiJFWENFTC5FWEUiLCJ0cmFjZUlkIjoiNUFDQkEwNTczRjIwNEI1Qjk3RUFERkEzQzM4MTZDMUUiLCJ1c2VyQ29kZSI6IjIyMzUyMTAifSwibm9kZTIiIDogeyJkc2QiOiIwMTAwMDAwMDAwMDAxODk0IiwibG9nVGltZSI6IjIwMjYtMDMtMjVUMDY6MjI6MTZaIiwicElEIjoxLCJwcm9jZXNzSWQiOjIwNzM2LCJwcm9jZXNzTmFtZSI6IkVYQ0VMLkVYRSIsInRyYWNlSWQiOiI4RDU2QjJDN0ZENTM0OTUwQjJDRDYxMTcwNDBEREUwRSIsInVzZXJDb2RlIjoiMjIzNTIxMCJ9LCJub2RlMyIgOiB7ImRzZCI6IjAxMDAwMDAwMDAwMDE4OTQiLCJsb2dUaW1lIjoiMjAyNi0wMy0yN1QwODo0MjowMVoiLCJwSUQiOjEsInByb2Nlc3NJZCI6MjA3MzYsInByb2Nlc3NOYW1lIjoiRVhDRUwuRVhFIiwidHJhY2VJZCI6IkQzRTc4QUQxNEVGQTQzQjY4MzM1NTI2OUM2QjlCNjIxIiwidXNlckNvZGUiOiIyMjM1MjEwIn0sIm5vZGU0IiA6IHsiZHNkIjoiMDEwMDAwMDAwMDAwMTg5NCIsImxvZ1RpbWUiOiIyMDI2LTAzLTMwVDAwOjQxOjI4WiIsInBJRCI6MSwicHJvY2Vzc0lkIjoyMzA4NCwicHJvY2Vzc05hbWUiOiJFWENFTC5FWEUiLCJ0cmFjZUlkIjoiRkE5RDVBOEQ0RTU5NDQ3M0I1QjI3MjIyNjBGMDAwRTUiLCJ1c2VyQ29kZSI6IjIyMzUyMTAifSwibm9kZTUiIDogeyAidXNlckNvZGUiIDogIjIyMzUyMTAiLCAidHJhY2VJZCIgOiAiMTcxNzg1RjQ4NTc2NjA5RjhFNzZGQjQzNDc0RTI5NUIiLCAiZHNkIiA6ICIwMDAwMDAwMDAwMDAwMDAwIiwgInBJRCIgOiAiMjA0OCIsICJsb2dUaW1lIiA6ICIyMDI2LTAzLTMwVDA5OjQwOjUyWiIgfX0=</vt:lpwstr>
  </property>
</Properties>
</file>