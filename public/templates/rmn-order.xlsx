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19425" windowHeight="11505" firstSheet="1" activeTab="1"/>
  </bookViews>
  <sheets>
    <sheet sheetId="1" name="광고 운영 가이드" state="hidden" r:id="rId4"/>
    <sheet sheetId="2" name="청약서" state="visible" r:id="rId5"/>
  </sheets>
  <definedNames>
    <definedName name="_xlnm.Print_Area" localSheetId="0">'광고 운영 가이드'!$A1:$BQ192</definedName>
    <definedName name="_xlnm.Print_Area" localSheetId="1">'청약서'!$A1:$BQ51</definedName>
  </definedNames>
  <calcPr calcId="171027" fullCalcOnLoad="1"/>
</workbook>
</file>

<file path=xl/sharedStrings.xml><?xml version="1.0" encoding="utf-8"?>
<sst xmlns="http://schemas.openxmlformats.org/spreadsheetml/2006/main" count="341" uniqueCount="242">
  <si>
    <t>현대백화점 광고 운영 가이드</t>
  </si>
  <si>
    <t>1) 광고 집행 프로세스</t>
  </si>
  <si>
    <t>1. 광고주와 당사 채널 및 패키지 결정(보유룸 확인)</t>
  </si>
  <si>
    <t>2. 청약서 양식에 맞춰 날인한 PDF 파일로 이메일 접수, 부킹 완료 및 불가 안내 메일 확인</t>
  </si>
  <si>
    <t>3. 광고 게첨일로부터 영업일 기준 5일 전까지 심의 소재 전달</t>
  </si>
  <si>
    <t>4. 게첨일로부터 영업일 기준 3일 전까지 최종 소재 전달</t>
  </si>
  <si>
    <t>5. 광고 게첨 or 교체일로부터 영업일 기준 1일 전까지 송출 편성표 업데이트(사진 촬영 불가)</t>
  </si>
  <si>
    <t>6. 청약서 내 계산서 발행 일정에 맞추어 정산 및 광고비 입금</t>
  </si>
  <si>
    <t>2) 공통 정책</t>
  </si>
  <si>
    <t>1. 국가기관 및 유관 부처의 인가, 허가, 등록, 신고 등이 필요한 업종은 해당 사항을 확인한 후에 광고 등록 및 집행이 가능합니다.</t>
  </si>
  <si>
    <t xml:space="preserve">2. 각 개별 서비스의 운영정책에 따라 광고 중단 또는 제한될 수 있으며, 소재 유형에 따라 특정 업종 광고가 불가할 수 있습니다. </t>
  </si>
  <si>
    <t>3. 제휴 매체, 지면, 서비스에 따라 노출이 가능한 업종은 상이하게 적용될 수 있으며, 광고 심사가이드에 따라 변경 가능합니다.</t>
  </si>
  <si>
    <t>4. 자사 주요 행사의 광고기간(명절, 크리스마스, 세일 등)에는 광고영역의 축소 및 구매 가능 구좌수 축소될 수 있습니다.</t>
  </si>
  <si>
    <t>3) 소재 검수 가이드</t>
  </si>
  <si>
    <t>1. 사회적 민감 주제와 관련되거나 지적재산권, 저작권 분쟁의 가능이 있는 경우는 게재할 수 없습니다.</t>
  </si>
  <si>
    <t xml:space="preserve">2. 저작권, 초상권을 침해하거나 법령, 풍속, 사회질서에 반하는 이미지는 사용할 수 없습니다. </t>
  </si>
  <si>
    <t>3. 전속 모델 이미지 사용시, 전속 계약 및 계약기간 등 준수에 관한 책임은 광고주에 있습니다.</t>
  </si>
  <si>
    <t>4. 해상도가 낮거나 과도한 보정 및 깨진 이미지는 사용 불가합니다.</t>
  </si>
  <si>
    <t>5. 과장된 정보, 허위 정보, 타사 및 제품에 대한 비방 및 차별적 표현, 근거 없는 최상급 표현, 반말 등은 사용 불가합니다.</t>
  </si>
  <si>
    <t>4) 광고 매체별 광고비 단가</t>
  </si>
  <si>
    <t>매체</t>
  </si>
  <si>
    <t>소재 길이</t>
  </si>
  <si>
    <t>노출</t>
  </si>
  <si>
    <t>월 광고비</t>
  </si>
  <si>
    <t>1주 광고비</t>
  </si>
  <si>
    <t>비 고</t>
  </si>
  <si>
    <t>더현대 서울 Kiosk</t>
  </si>
  <si>
    <t>15초</t>
  </si>
  <si>
    <t>日 100회</t>
  </si>
  <si>
    <t>700만원</t>
  </si>
  <si>
    <t>190만원</t>
  </si>
  <si>
    <t>판교점 Kiosk</t>
  </si>
  <si>
    <t>400만원</t>
  </si>
  <si>
    <t>110만원</t>
  </si>
  <si>
    <t>앱 스플래시</t>
  </si>
  <si>
    <t>3초 이내</t>
  </si>
  <si>
    <t>800만 imps / 7일</t>
  </si>
  <si>
    <t>-</t>
  </si>
  <si>
    <t>2,000만원</t>
  </si>
  <si>
    <t>앱 오픈 팝업</t>
  </si>
  <si>
    <t>30만 imps / 7일</t>
  </si>
  <si>
    <t>3,000만원</t>
  </si>
  <si>
    <t>1,000만원</t>
  </si>
  <si>
    <t>앱 메인</t>
  </si>
  <si>
    <t>1,500만원</t>
  </si>
  <si>
    <t>500만원</t>
  </si>
  <si>
    <t>앱 헤드라인 뉴스</t>
  </si>
  <si>
    <t>900만원</t>
  </si>
  <si>
    <t>300만원</t>
  </si>
  <si>
    <t>앱 메인 하단 배너</t>
  </si>
  <si>
    <t>5만 imps / 7일</t>
  </si>
  <si>
    <t>600만원</t>
  </si>
  <si>
    <t>200만원</t>
  </si>
  <si>
    <t>앱 이벤트 메뉴</t>
  </si>
  <si>
    <t>6만 imps / 9일</t>
  </si>
  <si>
    <t>앱 푸쉬</t>
  </si>
  <si>
    <r>
      <t>100만원</t>
    </r>
    <r>
      <rPr>
        <charset val="129"/>
        <color theme="1"/>
        <family val="3"/>
        <sz val="10"/>
        <rFont val="KoPub바탕체 Medium"/>
      </rPr>
      <t>(2만명)</t>
    </r>
    <r>
      <rPr>
        <charset val="129"/>
        <color theme="1"/>
        <family val="3"/>
        <sz val="11"/>
        <rFont val="KoPub바탕체 Medium"/>
      </rPr>
      <t xml:space="preserve"> / 500만원</t>
    </r>
    <r>
      <rPr>
        <charset val="129"/>
        <color theme="1"/>
        <family val="3"/>
        <sz val="10"/>
        <rFont val="KoPub바탕체 Medium"/>
      </rPr>
      <t>(10만명)</t>
    </r>
    <r>
      <rPr>
        <charset val="129"/>
        <color theme="1"/>
        <family val="3"/>
        <sz val="11"/>
        <rFont val="KoPub바탕체 Medium"/>
      </rPr>
      <t xml:space="preserve"> / 1,000만원</t>
    </r>
    <r>
      <rPr>
        <charset val="129"/>
        <color theme="1"/>
        <family val="3"/>
        <sz val="10"/>
        <rFont val="KoPub바탕체 Medium"/>
      </rPr>
      <t>(20만명)</t>
    </r>
  </si>
  <si>
    <t>홈페이지 팝업</t>
  </si>
  <si>
    <t>5만</t>
  </si>
  <si>
    <t>3~5만 imps / 7일</t>
  </si>
  <si>
    <t>홈페이지 메인 하단 배너</t>
  </si>
  <si>
    <t>5) 장기 집행 및 다구좌 집행 할인</t>
  </si>
  <si>
    <t xml:space="preserve">○ 오프라인 </t>
  </si>
  <si>
    <t>구 분</t>
  </si>
  <si>
    <t>3개월 이상</t>
  </si>
  <si>
    <t>6개월 이상</t>
  </si>
  <si>
    <t>9개월 이상</t>
  </si>
  <si>
    <t>12개월 이상</t>
  </si>
  <si>
    <t>더현대 서울 kiosk</t>
  </si>
  <si>
    <t>판교점 kiosk</t>
  </si>
  <si>
    <t>※ 1구좌 기준 적용. 3~5구좌 1개월 진행시 3개월 이상 할인율 적용</t>
  </si>
  <si>
    <t>※ 최소 3개월 또는 3구좌 이상 집행시 할인 적용되며, 집행 기간과 수량을 합산한 총량의 공시단가 기준으로 적용</t>
  </si>
  <si>
    <t>○ 통합 패키지</t>
  </si>
  <si>
    <t>관련 상품</t>
  </si>
  <si>
    <t>공시가</t>
  </si>
  <si>
    <t>프로모션</t>
  </si>
  <si>
    <t>APP DA 패키지</t>
  </si>
  <si>
    <t>ㆍ스플래시 + 오픈 팝업 + 메인 배너 + 하단 배너</t>
  </si>
  <si>
    <t>3,700만원</t>
  </si>
  <si>
    <t>APP &amp; WEB 패키지</t>
  </si>
  <si>
    <t>ㆍAPP DA 패키지 + 홈페이지 팝업 + 홈페이지 하단 배너</t>
  </si>
  <si>
    <t>4,900만원</t>
  </si>
  <si>
    <t>4,000만원</t>
  </si>
  <si>
    <r>
      <t>온</t>
    </r>
    <r>
      <rPr>
        <b/>
        <charset val="129"/>
        <color theme="1"/>
        <family val="3"/>
        <sz val="10"/>
        <rFont val="KoPub바탕체 Medium"/>
      </rPr>
      <t>/</t>
    </r>
    <r>
      <rPr>
        <b/>
        <charset val="129"/>
        <color theme="1"/>
        <family val="3"/>
        <sz val="11"/>
        <rFont val="KoPub바탕체 Medium"/>
      </rPr>
      <t xml:space="preserve">오프
통합</t>
    </r>
  </si>
  <si>
    <t>더현대서울</t>
  </si>
  <si>
    <t>ㆍ외벽 전광판(月) + Kiosk(月) + APP DA 패키지(1주)</t>
  </si>
  <si>
    <t>5,600만원</t>
  </si>
  <si>
    <t>4,600만원</t>
  </si>
  <si>
    <t>판교1</t>
  </si>
  <si>
    <t>ㆍ전면 네코 + Kiosk(月) + APP DA 패키지(1주)</t>
  </si>
  <si>
    <t>7,100만원</t>
  </si>
  <si>
    <t>5,500만원</t>
  </si>
  <si>
    <t>추가 필요</t>
  </si>
  <si>
    <t>판교2</t>
  </si>
  <si>
    <t>ㆍKiosk(月) + APP DA 패키지(1주)</t>
  </si>
  <si>
    <t>4,100만원</t>
  </si>
  <si>
    <t>3,300만원</t>
  </si>
  <si>
    <t>6) 집행 금액 및 운영 기간</t>
  </si>
  <si>
    <t>○ 최소 집행 금액 및 운영 기간</t>
  </si>
  <si>
    <t>세부 내용</t>
  </si>
  <si>
    <t>최소 집행 금액</t>
  </si>
  <si>
    <t>ㆍ 500만원 / 1주, 1,000만원 / 1개월</t>
  </si>
  <si>
    <t>광고 게첨</t>
  </si>
  <si>
    <t>ㆍ 심의 소재(7영업일 이전), 게첨 소재(5영업일 이전)</t>
  </si>
  <si>
    <t xml:space="preserve">    ※ 소재 변경 : 1주 1회 교체 가능(이미지 및 랜딩 링크 포함)</t>
  </si>
  <si>
    <t>위약금</t>
  </si>
  <si>
    <t>ㆍ 기간별 취소 위약금 부과</t>
  </si>
  <si>
    <t>D-16일 이전 취소</t>
  </si>
  <si>
    <t>D-15일 이내 취소</t>
  </si>
  <si>
    <t>운영 중 취소</t>
  </si>
  <si>
    <t>＊잔여일자 일할 산정</t>
  </si>
  <si>
    <t>위약금 미부과</t>
  </si>
  <si>
    <t>예상 광고비 30%</t>
  </si>
  <si>
    <t>잔여 집행 예산의 50%</t>
  </si>
  <si>
    <t xml:space="preserve">   (공시단가 기준)</t>
  </si>
  <si>
    <t>7) 판매사 수수료</t>
  </si>
  <si>
    <t>○ 온/오프 매체 구분 없이 광고비의 30% 수수료 책정</t>
  </si>
  <si>
    <t>8) 광고비 정산 방식</t>
  </si>
  <si>
    <t>○ 광고비는 Gross 형으로 당사와 판매사가 각각 매체비, 수수료에 대한 세금계산서 발행 (광고 종료일자 10영업일 이내)</t>
  </si>
  <si>
    <t>○ 발행된 세금계산서 상계 처리하여 종료일자 기준 D+30일 입금 (판매사 → 당사)</t>
  </si>
  <si>
    <t>9) 광고 청약</t>
  </si>
  <si>
    <t>○ 가부킹 제도는 없으며, 광고청약서 접수 기준으로 우선 순위 반영</t>
  </si>
  <si>
    <t>○ 광고청약서는 광고 집행 일정과 관계없이 접수 가능하며, 게첨일 기준 3영업일 이전까지 접수 필요</t>
  </si>
  <si>
    <t>○ [별첨2. 광고 청약서 ] 예시를 기준으로 정보를 기입해 메일로 송부 (thehyundai_ad@thehyundai.com)</t>
  </si>
  <si>
    <t>＃ 별첨1. 매체별 업종 가이드</t>
  </si>
  <si>
    <t>○가능 △조건부 X불가능</t>
  </si>
  <si>
    <t>업종</t>
  </si>
  <si>
    <t>외벽 네코</t>
  </si>
  <si>
    <t>Kiosk</t>
  </si>
  <si>
    <t>APP</t>
  </si>
  <si>
    <t>홈페이지</t>
  </si>
  <si>
    <t>가전,가구</t>
  </si>
  <si>
    <t>△ 토탈리빙 불가</t>
  </si>
  <si>
    <t>○</t>
  </si>
  <si>
    <t>건설,분양</t>
  </si>
  <si>
    <t>△ 브랜딩 한정 협의 하에 결정</t>
  </si>
  <si>
    <t>브랜딩 한정</t>
  </si>
  <si>
    <t>게임</t>
  </si>
  <si>
    <t xml:space="preserve">△ </t>
  </si>
  <si>
    <t>폭력성, 선정성 배제</t>
  </si>
  <si>
    <t>공연,행사</t>
  </si>
  <si>
    <t>△ 공연, 행사 스케일에 따라 협의</t>
  </si>
  <si>
    <t>관공서,단체</t>
  </si>
  <si>
    <t>△ 소재 심의 후 결정</t>
  </si>
  <si>
    <t>교육</t>
  </si>
  <si>
    <t>x</t>
  </si>
  <si>
    <t>△ 학교 및 학원 광고 불가, 소재 심의 후 결정</t>
  </si>
  <si>
    <t>금융</t>
  </si>
  <si>
    <t>△ 제1금융권 外 소재 심의 후 결정</t>
  </si>
  <si>
    <t>모바일,통신</t>
  </si>
  <si>
    <t>보험</t>
  </si>
  <si>
    <t>산업기기</t>
  </si>
  <si>
    <t>스포츠</t>
  </si>
  <si>
    <t>식품</t>
  </si>
  <si>
    <t>X</t>
  </si>
  <si>
    <t>영화,방송,OTT서비스</t>
  </si>
  <si>
    <t>△ 블록버스터급 한정</t>
  </si>
  <si>
    <t>△ 소재 내용에 폭력성 및 선정성 배제 필수</t>
  </si>
  <si>
    <t>엔터테인먼트</t>
  </si>
  <si>
    <t>의약품</t>
  </si>
  <si>
    <t>자동차</t>
  </si>
  <si>
    <t>주류</t>
  </si>
  <si>
    <t>△ 수입 양주, 맥주 한정</t>
  </si>
  <si>
    <t>주류 광고법 준수</t>
  </si>
  <si>
    <t>증권</t>
  </si>
  <si>
    <t>출판</t>
  </si>
  <si>
    <t>패션,잡화</t>
  </si>
  <si>
    <t>△ 중저가 브랜드 심의</t>
  </si>
  <si>
    <t>항공사</t>
  </si>
  <si>
    <t>화장품</t>
  </si>
  <si>
    <t>○ 중저가 브랜드 심의</t>
  </si>
  <si>
    <t>△ 글로벌 럭셔리 한정</t>
  </si>
  <si>
    <t>화학공업</t>
  </si>
  <si>
    <t>결혼, 결혼정보</t>
  </si>
  <si>
    <t>병원</t>
  </si>
  <si>
    <t>상조</t>
  </si>
  <si>
    <t>팬덤</t>
  </si>
  <si>
    <t>정치</t>
  </si>
  <si>
    <t>그 外 제한 업종</t>
  </si>
  <si>
    <t xml:space="preserve"> </t>
  </si>
  <si>
    <t>· 담배 및 전자담배, 성인 관련 서비스, 사행사언업 규정 업종(도박, 카지노, 경마, 복권 등)</t>
  </si>
  <si>
    <t>· 유사수신행위, 의견광고(특정인 및 단체에 대한 의견, 사회적 이슈 사안 등)</t>
  </si>
  <si>
    <t>＃ 별첨2. 광고청약서 작성 예시</t>
  </si>
  <si>
    <t>※ 파일명 작성 예시: (청구월)광고청약서_매체/패키지명_판매사명(브랜드) 청약날짜</t>
  </si>
  <si>
    <r>
      <t>2025년 현대백화점 온</t>
    </r>
    <r>
      <rPr>
        <charset val="129"/>
        <color theme="1"/>
        <family val="3"/>
        <sz val="12"/>
        <rFont val="KoPub바탕체 Medium"/>
      </rPr>
      <t>/</t>
    </r>
    <r>
      <rPr>
        <charset val="129"/>
        <color theme="1"/>
        <family val="3"/>
        <sz val="14"/>
        <rFont val="KoPub바탕체 Medium"/>
      </rPr>
      <t>오프 광고 집행 청약서</t>
    </r>
  </si>
  <si>
    <t>1. 판매사 정보</t>
  </si>
  <si>
    <t xml:space="preserve">판매사명
(법인명)</t>
  </si>
  <si>
    <t>주식회사 현대백화점</t>
  </si>
  <si>
    <t>사업자등록번호</t>
  </si>
  <si>
    <t>211-87-21455</t>
  </si>
  <si>
    <t>주소</t>
  </si>
  <si>
    <t xml:space="preserve">서울시 강남구 테헤란로 98길12
(현대백화점 본사)</t>
  </si>
  <si>
    <t>담당자</t>
  </si>
  <si>
    <t>김현대</t>
  </si>
  <si>
    <t>연락처</t>
  </si>
  <si>
    <t>02-0000-0000</t>
  </si>
  <si>
    <t>이메일 주소</t>
  </si>
  <si>
    <t>ad1234@thehyundai.com</t>
  </si>
  <si>
    <t>※ 계산서 기준으로 실계약업체의 광고 청약 담당자 정보를 기재</t>
  </si>
  <si>
    <t>2. 계약 정보</t>
  </si>
  <si>
    <t>단위: 원 / VAT 별도</t>
  </si>
  <si>
    <t>매체&amp;패키지</t>
  </si>
  <si>
    <t>판교2 패키지</t>
  </si>
  <si>
    <t>캠페인 명</t>
  </si>
  <si>
    <t>현대백화점 세일 캠페인</t>
  </si>
  <si>
    <t>광고 소재</t>
  </si>
  <si>
    <t>상품</t>
  </si>
  <si>
    <t>수량(길이)</t>
  </si>
  <si>
    <t>집행 기간</t>
  </si>
  <si>
    <t>광고비(입금가)</t>
  </si>
  <si>
    <t>판교 Kiosk</t>
  </si>
  <si>
    <t>1구좌(15초)</t>
  </si>
  <si>
    <t>25.01.01 - 01.31</t>
  </si>
  <si>
    <t>1구좌(7일)</t>
  </si>
  <si>
    <t>25.01.01 - 01.07</t>
  </si>
  <si>
    <t>앱 메인 배너</t>
  </si>
  <si>
    <t xml:space="preserve">월 광고비
(입금가)</t>
  </si>
  <si>
    <t>1월: 2,940만원</t>
  </si>
  <si>
    <t xml:space="preserve">총 광고비
(입금가)</t>
  </si>
  <si>
    <t xml:space="preserve">세금계산서
발행요청일</t>
  </si>
  <si>
    <t>2025년 1월말</t>
  </si>
  <si>
    <t>결제 방법</t>
  </si>
  <si>
    <t>광고종료일 기준 30일 이후 현금 입금</t>
  </si>
  <si>
    <t xml:space="preserve">계산서 수령
담당 이메일</t>
  </si>
  <si>
    <t>hda21455km1@thehyundai.com</t>
  </si>
  <si>
    <t>비고</t>
  </si>
  <si>
    <t xml:space="preserve">패키지 단가 기준, 수수료 30%
4월 일할 광고비 5월 합산 청구</t>
  </si>
  <si>
    <t>1. 상기 청약서는 계약 내용을 확인하고자 함이며, 약식 계약서 역할을 한다.</t>
  </si>
  <si>
    <t>2. 추가 협의 내용 및 계약상 특이사항은 기타 항목에 넣어 확인하기로 한다.</t>
  </si>
  <si>
    <t>3. 청약서 상의 금액 및 결제 등 주요 내용의 변경 시에는 변경된 청약서를 작성하거나 별도 계약서를 작성한다.</t>
  </si>
  <si>
    <t>4. 하단 날인은 대표이사 날인을 기본으로 하나, 상황에 따라 담당자의 서명으로 대신할 수 있다.</t>
  </si>
  <si>
    <t>위의 청약 내용이 틀림없음을 확인합니다.</t>
  </si>
  <si>
    <r>
      <rPr>
        <charset val="129"/>
        <color theme="9" tint="-0.249977111117893"/>
        <family val="3"/>
        <sz val="10"/>
        <rFont val="KoPub바탕체 Medium"/>
      </rPr>
      <t>2025</t>
    </r>
    <r>
      <rPr>
        <charset val="129"/>
        <color theme="1"/>
        <family val="3"/>
        <sz val="10"/>
        <rFont val="KoPub바탕체 Medium"/>
      </rPr>
      <t xml:space="preserve">년    </t>
    </r>
    <r>
      <rPr>
        <charset val="129"/>
        <color theme="9" tint="-0.249977111117893"/>
        <family val="3"/>
        <sz val="10"/>
        <rFont val="KoPub바탕체 Medium"/>
      </rPr>
      <t>00</t>
    </r>
    <r>
      <rPr>
        <charset val="129"/>
        <color theme="1"/>
        <family val="3"/>
        <sz val="10"/>
        <rFont val="KoPub바탕체 Medium"/>
      </rPr>
      <t>월    00일</t>
    </r>
  </si>
  <si>
    <t xml:space="preserve">대표이사
(담당자)</t>
  </si>
  <si>
    <r>
      <rPr>
        <charset val="129"/>
        <color theme="9" tint="-0.249977111117893"/>
        <family val="3"/>
        <sz val="10"/>
        <rFont val="KoPub바탕체 Medium"/>
      </rPr>
      <t>김 현 대</t>
    </r>
    <r>
      <rPr>
        <charset val="129"/>
        <color theme="1"/>
        <family val="3"/>
        <sz val="10"/>
        <rFont val="KoPub바탕체 Medium"/>
      </rPr>
      <t xml:space="preserve">     (인)</t>
    </r>
  </si>
  <si>
    <r>
      <t>2026년 현대백화점 온</t>
    </r>
    <r>
      <rPr>
        <charset val="129"/>
        <color theme="1"/>
        <family val="3"/>
        <sz val="12"/>
        <rFont val="KoPub바탕체 Medium"/>
      </rPr>
      <t>/</t>
    </r>
    <r>
      <rPr>
        <charset val="129"/>
        <color theme="1"/>
        <family val="3"/>
        <sz val="14"/>
        <rFont val="KoPub바탕체 Medium"/>
      </rPr>
      <t>오프 광고 집행 청약서</t>
    </r>
  </si>
  <si>
    <t>포함 상품</t>
  </si>
  <si>
    <t>합 계</t>
  </si>
  <si>
    <t>광고종료일 기준 익월 말일까지 현금 입금</t>
  </si>
  <si>
    <t xml:space="preserve">계산서
이메일</t>
  </si>
  <si>
    <t>현대백화점</t>
  </si>
  <si>
    <t xml:space="preserve">     (인)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</si>
</sst>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&quot;만원&quot;"/>
  </numFmts>
  <fonts count="15" x14ac:knownFonts="1">
    <font>
      <color theme="1"/>
      <family val="2"/>
      <scheme val="minor"/>
      <sz val="11"/>
      <name val="Calibri"/>
    </font>
    <font>
      <charset val="129"/>
      <color theme="1"/>
      <family val="3"/>
      <sz val="11"/>
      <name val="KoPub바탕체 Medium"/>
    </font>
    <font>
      <b/>
      <charset val="129"/>
      <color theme="1"/>
      <family val="3"/>
      <sz val="14"/>
      <name val="KoPub바탕체 Medium"/>
    </font>
    <font>
      <b/>
      <charset val="129"/>
      <color theme="1"/>
      <family val="3"/>
      <sz val="12"/>
      <name val="KoPub바탕체 Medium"/>
    </font>
    <font>
      <b/>
      <charset val="129"/>
      <color theme="1"/>
      <family val="3"/>
      <sz val="10"/>
      <name val="KoPub바탕체 Medium"/>
    </font>
    <font>
      <b/>
      <charset val="129"/>
      <color theme="1"/>
      <family val="3"/>
      <sz val="11"/>
      <name val="KoPub바탕체 Medium"/>
    </font>
    <font>
      <charset val="129"/>
      <color theme="1"/>
      <family val="3"/>
      <sz val="10"/>
      <name val="KoPub바탕체 Medium"/>
    </font>
    <font>
      <charset val="129"/>
      <color theme="9" tint="-0.249977111117893"/>
      <family val="3"/>
      <sz val="10"/>
      <name val="KoPub바탕체 Medium"/>
    </font>
    <font>
      <charset val="129"/>
      <color theme="1"/>
      <family val="3"/>
      <sz val="14"/>
      <name val="KoPub바탕체 Medium"/>
    </font>
    <font>
      <charset val="129"/>
      <color theme="1"/>
      <family val="3"/>
      <sz val="12"/>
      <name val="KoPub바탕체 Medium"/>
    </font>
    <font>
      <u/>
      <charset val="129"/>
      <color theme="10"/>
      <family val="3"/>
      <sz val="11"/>
      <name val="KoPub바탕체 Medium"/>
    </font>
    <font>
      <u/>
      <charset val="129"/>
      <color theme="10"/>
      <family val="2"/>
      <scheme val="minor"/>
      <sz val="11"/>
      <name val="맑은 고딕"/>
    </font>
    <font>
      <charset val="129"/>
      <color theme="1"/>
      <family val="1"/>
      <sz val="10"/>
      <name val="HG꼬딕씨 40g"/>
    </font>
    <font>
      <charset val="129"/>
      <family val="3"/>
      <sz val="10"/>
      <name val="KoPub바탕체 Medium"/>
    </font>
    <font>
      <charset val="129"/>
      <family val="3"/>
      <sz val="11"/>
      <name val="KoPub바탕체 Medium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left" vertical="center" inden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6" xfId="0" applyFont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9" fontId="1" fillId="0" borderId="9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1"/>
    </xf>
    <xf numFmtId="164" fontId="1" fillId="0" borderId="9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6" fillId="4" borderId="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4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3" fillId="0" borderId="26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25" xfId="0" applyFont="1" applyBorder="1" applyAlignment="1">
      <alignment vertical="center"/>
    </xf>
    <xf numFmtId="0" fontId="13" fillId="0" borderId="2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1234@thehyundai.com" TargetMode="External"/><Relationship Id="rId2" Type="http://schemas.openxmlformats.org/officeDocument/2006/relationships/hyperlink" Target="mailto:hda21455km1@thehyund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Q192"/>
  <sheetViews>
    <sheetView workbookViewId="0" zoomScale="115" zoomScaleNormal="115">
      <selection activeCell="AN11" sqref="AN11"/>
    </sheetView>
  </sheetViews>
  <sheetFormatPr defaultRowHeight="21.95" outlineLevelRow="0" outlineLevelCol="0" x14ac:dyDescent="0" defaultColWidth="1.625" customHeight="1"/>
  <cols>
    <col min="1" max="7" width="1.625" style="1" customWidth="1"/>
    <col min="8" max="11" width="1.75" style="1" customWidth="1"/>
    <col min="12" max="16384" width="1.625" style="1" customWidth="1"/>
  </cols>
  <sheetData>
    <row r="1" ht="12" customHeight="1" x14ac:dyDescent="0.25"/>
    <row r="2" ht="30" customHeight="1" spans="3:67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4" ht="21.95" customHeight="1" spans="3:3" x14ac:dyDescent="0.25">
      <c r="C4" s="3" t="s">
        <v>1</v>
      </c>
    </row>
    <row r="5" ht="12" customHeight="1" x14ac:dyDescent="0.25"/>
    <row r="6" ht="9.95" customHeight="1" spans="4:67" x14ac:dyDescent="0.25"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6"/>
    </row>
    <row r="7" ht="24.95" customHeight="1" spans="4:67" x14ac:dyDescent="0.25">
      <c r="D7" s="7" t="s">
        <v>2</v>
      </c>
      <c r="BO7" s="8"/>
    </row>
    <row r="8" ht="24.95" customHeight="1" spans="4:67" x14ac:dyDescent="0.25">
      <c r="D8" s="7" t="s">
        <v>3</v>
      </c>
      <c r="BO8" s="8"/>
    </row>
    <row r="9" ht="24.95" customHeight="1" spans="4:67" x14ac:dyDescent="0.25">
      <c r="D9" s="7" t="s">
        <v>4</v>
      </c>
      <c r="BO9" s="8"/>
    </row>
    <row r="10" ht="24.95" customHeight="1" spans="4:67" x14ac:dyDescent="0.25">
      <c r="D10" s="7" t="s">
        <v>5</v>
      </c>
      <c r="BO10" s="8"/>
    </row>
    <row r="11" ht="24.95" customHeight="1" spans="4:67" x14ac:dyDescent="0.25">
      <c r="D11" s="7" t="s">
        <v>6</v>
      </c>
      <c r="BO11" s="8"/>
    </row>
    <row r="12" ht="24.95" customHeight="1" spans="4:67" x14ac:dyDescent="0.25">
      <c r="D12" s="7" t="s">
        <v>7</v>
      </c>
      <c r="BO12" s="8"/>
    </row>
    <row r="13" ht="9.95" customHeight="1" spans="4:67" x14ac:dyDescent="0.25"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1"/>
    </row>
    <row r="14" ht="24.95" customHeight="1" spans="4:4" x14ac:dyDescent="0.25">
      <c r="D14" s="12"/>
    </row>
    <row r="15" ht="21.95" customHeight="1" spans="3:3" x14ac:dyDescent="0.25">
      <c r="C15" s="3" t="s">
        <v>8</v>
      </c>
    </row>
    <row r="16" ht="12" customHeight="1" x14ac:dyDescent="0.25"/>
    <row r="17" ht="9.95" customHeight="1" spans="4:67" x14ac:dyDescent="0.25"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6"/>
    </row>
    <row r="18" ht="24.95" customHeight="1" spans="4:67" x14ac:dyDescent="0.25">
      <c r="D18" s="7" t="s">
        <v>9</v>
      </c>
      <c r="E18" s="12"/>
      <c r="BO18" s="8"/>
    </row>
    <row r="19" ht="24.95" customHeight="1" spans="4:67" x14ac:dyDescent="0.25">
      <c r="D19" s="7" t="s">
        <v>10</v>
      </c>
      <c r="E19" s="12"/>
      <c r="BO19" s="8"/>
    </row>
    <row r="20" ht="24.95" customHeight="1" spans="4:67" x14ac:dyDescent="0.25">
      <c r="D20" s="7" t="s">
        <v>11</v>
      </c>
      <c r="E20" s="12"/>
      <c r="BO20" s="8"/>
    </row>
    <row r="21" ht="24.95" customHeight="1" spans="4:67" x14ac:dyDescent="0.25">
      <c r="D21" s="7" t="s">
        <v>12</v>
      </c>
      <c r="E21" s="12"/>
      <c r="BO21" s="8"/>
    </row>
    <row r="22" ht="9.95" customHeight="1" spans="4:67" x14ac:dyDescent="0.25">
      <c r="D22" s="13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1"/>
    </row>
    <row r="24" ht="21.95" customHeight="1" spans="3:3" x14ac:dyDescent="0.25">
      <c r="C24" s="3" t="s">
        <v>13</v>
      </c>
    </row>
    <row r="25" ht="12" customHeight="1" x14ac:dyDescent="0.25"/>
    <row r="26" ht="9.95" customHeight="1" spans="4:67" x14ac:dyDescent="0.25"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6"/>
    </row>
    <row r="27" ht="24.95" customHeight="1" spans="4:67" x14ac:dyDescent="0.25">
      <c r="D27" s="7" t="s">
        <v>14</v>
      </c>
      <c r="E27" s="12"/>
      <c r="BO27" s="8"/>
    </row>
    <row r="28" ht="24.95" customHeight="1" spans="4:67" x14ac:dyDescent="0.25">
      <c r="D28" s="7" t="s">
        <v>15</v>
      </c>
      <c r="E28" s="12"/>
      <c r="BO28" s="8"/>
    </row>
    <row r="29" ht="24.95" customHeight="1" spans="4:67" x14ac:dyDescent="0.25">
      <c r="D29" s="7" t="s">
        <v>16</v>
      </c>
      <c r="E29" s="12"/>
      <c r="BO29" s="8"/>
    </row>
    <row r="30" ht="24.95" customHeight="1" spans="4:67" x14ac:dyDescent="0.25">
      <c r="D30" s="7" t="s">
        <v>17</v>
      </c>
      <c r="E30" s="12"/>
      <c r="BO30" s="8"/>
    </row>
    <row r="31" ht="24.95" customHeight="1" spans="4:67" x14ac:dyDescent="0.25">
      <c r="D31" s="7" t="s">
        <v>18</v>
      </c>
      <c r="E31" s="12"/>
      <c r="BO31" s="8"/>
    </row>
    <row r="32" ht="9.95" customHeight="1" spans="4:67" x14ac:dyDescent="0.25">
      <c r="D32" s="13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1"/>
    </row>
    <row r="34" ht="21.95" customHeight="1" spans="3:3" x14ac:dyDescent="0.25">
      <c r="C34" s="3" t="s">
        <v>19</v>
      </c>
    </row>
    <row r="35" ht="12" customHeight="1" x14ac:dyDescent="0.25"/>
    <row r="36" ht="21.95" customHeight="1" spans="4:67" x14ac:dyDescent="0.25">
      <c r="D36" s="14" t="s">
        <v>20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5" t="s">
        <v>21</v>
      </c>
      <c r="Q36" s="15"/>
      <c r="R36" s="15"/>
      <c r="S36" s="15"/>
      <c r="T36" s="15"/>
      <c r="U36" s="15"/>
      <c r="V36" s="15"/>
      <c r="W36" s="15"/>
      <c r="X36" s="15"/>
      <c r="Y36" s="15"/>
      <c r="Z36" s="15" t="s">
        <v>22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 t="s">
        <v>23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 t="s">
        <v>24</v>
      </c>
      <c r="AU36" s="15"/>
      <c r="AV36" s="15"/>
      <c r="AW36" s="15"/>
      <c r="AX36" s="15"/>
      <c r="AY36" s="15"/>
      <c r="AZ36" s="15"/>
      <c r="BA36" s="15"/>
      <c r="BB36" s="15"/>
      <c r="BC36" s="15"/>
      <c r="BD36" s="14" t="s">
        <v>25</v>
      </c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ht="21.95" customHeight="1" spans="4:121" x14ac:dyDescent="0.25">
      <c r="D37" s="16" t="s">
        <v>26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 t="s">
        <v>27</v>
      </c>
      <c r="Q37" s="17"/>
      <c r="R37" s="17"/>
      <c r="S37" s="17"/>
      <c r="T37" s="17"/>
      <c r="U37" s="17"/>
      <c r="V37" s="17"/>
      <c r="W37" s="17"/>
      <c r="X37" s="17"/>
      <c r="Y37" s="17"/>
      <c r="Z37" s="17" t="s">
        <v>28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 t="s">
        <v>29</v>
      </c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30</v>
      </c>
      <c r="AU37" s="17"/>
      <c r="AV37" s="17"/>
      <c r="AW37" s="17"/>
      <c r="AX37" s="17"/>
      <c r="AY37" s="17"/>
      <c r="AZ37" s="17"/>
      <c r="BA37" s="17"/>
      <c r="BB37" s="17"/>
      <c r="BC37" s="17"/>
      <c r="BD37" s="4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6"/>
      <c r="CB37" s="17">
        <v>700</v>
      </c>
      <c r="CC37" s="17"/>
      <c r="CD37" s="17"/>
      <c r="CE37" s="17"/>
      <c r="CF37" s="17"/>
      <c r="CG37" s="17"/>
      <c r="CH37" s="17"/>
      <c r="CI37" s="17"/>
      <c r="CJ37" s="17"/>
      <c r="CK37" s="17"/>
      <c r="CL37" s="17">
        <f>CB37/4</f>
        <v>175</v>
      </c>
      <c r="CM37" s="17"/>
      <c r="CN37" s="17"/>
      <c r="CO37" s="17"/>
      <c r="CP37" s="17"/>
      <c r="CQ37" s="17"/>
      <c r="CR37" s="17"/>
      <c r="CS37" s="17"/>
      <c r="CT37" s="17"/>
      <c r="CU37" s="17"/>
      <c r="CV37" s="17">
        <v>190</v>
      </c>
      <c r="CW37" s="17"/>
      <c r="CX37" s="17"/>
      <c r="CY37" s="17"/>
      <c r="CZ37" s="17"/>
      <c r="DA37" s="17"/>
      <c r="DB37" s="17"/>
      <c r="DC37" s="17"/>
      <c r="DD37" s="17"/>
      <c r="DE37" s="17"/>
      <c r="DF37" s="18">
        <f>CV37/CL37</f>
        <v>1.0857142857142856</v>
      </c>
      <c r="DG37" s="18"/>
      <c r="DH37" s="18"/>
      <c r="DI37" s="18"/>
      <c r="DJ37" s="18"/>
      <c r="DK37" s="18"/>
      <c r="DL37" s="18"/>
      <c r="DM37" s="18"/>
      <c r="DN37" s="18"/>
      <c r="DO37" s="18"/>
      <c r="DP37" s="19"/>
      <c r="DQ37" s="19"/>
    </row>
    <row r="38" ht="21.95" customHeight="1" spans="4:121" x14ac:dyDescent="0.25">
      <c r="D38" s="16" t="s">
        <v>31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 t="s">
        <v>27</v>
      </c>
      <c r="Q38" s="17"/>
      <c r="R38" s="17"/>
      <c r="S38" s="17"/>
      <c r="T38" s="17"/>
      <c r="U38" s="17"/>
      <c r="V38" s="17"/>
      <c r="W38" s="17"/>
      <c r="X38" s="17"/>
      <c r="Y38" s="17"/>
      <c r="Z38" s="17" t="s">
        <v>28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 t="s">
        <v>32</v>
      </c>
      <c r="AK38" s="17"/>
      <c r="AL38" s="17"/>
      <c r="AM38" s="17"/>
      <c r="AN38" s="17"/>
      <c r="AO38" s="17"/>
      <c r="AP38" s="17"/>
      <c r="AQ38" s="17"/>
      <c r="AR38" s="17"/>
      <c r="AS38" s="17"/>
      <c r="AT38" s="17" t="s">
        <v>33</v>
      </c>
      <c r="AU38" s="17"/>
      <c r="AV38" s="17"/>
      <c r="AW38" s="17"/>
      <c r="AX38" s="17"/>
      <c r="AY38" s="17"/>
      <c r="AZ38" s="17"/>
      <c r="BA38" s="17"/>
      <c r="BB38" s="17"/>
      <c r="BC38" s="17"/>
      <c r="BD38" s="20"/>
      <c r="BO38" s="8"/>
      <c r="CB38" s="17">
        <v>400</v>
      </c>
      <c r="CC38" s="17"/>
      <c r="CD38" s="17"/>
      <c r="CE38" s="17"/>
      <c r="CF38" s="17"/>
      <c r="CG38" s="17"/>
      <c r="CH38" s="17"/>
      <c r="CI38" s="17"/>
      <c r="CJ38" s="17"/>
      <c r="CK38" s="17"/>
      <c r="CL38" s="17">
        <f>CB38/4</f>
        <v>100</v>
      </c>
      <c r="CM38" s="17"/>
      <c r="CN38" s="17"/>
      <c r="CO38" s="17"/>
      <c r="CP38" s="17"/>
      <c r="CQ38" s="17"/>
      <c r="CR38" s="17"/>
      <c r="CS38" s="17"/>
      <c r="CT38" s="17"/>
      <c r="CU38" s="17"/>
      <c r="CV38" s="17">
        <v>110</v>
      </c>
      <c r="CW38" s="17"/>
      <c r="CX38" s="17"/>
      <c r="CY38" s="17"/>
      <c r="CZ38" s="17"/>
      <c r="DA38" s="17"/>
      <c r="DB38" s="17"/>
      <c r="DC38" s="17"/>
      <c r="DD38" s="17"/>
      <c r="DE38" s="17"/>
      <c r="DF38" s="18">
        <f>CV38/CL38</f>
        <v>1.1</v>
      </c>
      <c r="DG38" s="18"/>
      <c r="DH38" s="18"/>
      <c r="DI38" s="18"/>
      <c r="DJ38" s="18"/>
      <c r="DK38" s="18"/>
      <c r="DL38" s="18"/>
      <c r="DM38" s="18"/>
      <c r="DN38" s="18"/>
      <c r="DO38" s="18"/>
      <c r="DP38" s="19"/>
      <c r="DQ38" s="19"/>
    </row>
    <row r="39" ht="21.95" customHeight="1" spans="4:121" x14ac:dyDescent="0.25">
      <c r="D39" s="16" t="s">
        <v>34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 t="s">
        <v>35</v>
      </c>
      <c r="Q39" s="17"/>
      <c r="R39" s="17"/>
      <c r="S39" s="17"/>
      <c r="T39" s="17"/>
      <c r="U39" s="17"/>
      <c r="V39" s="17"/>
      <c r="W39" s="17"/>
      <c r="X39" s="17"/>
      <c r="Y39" s="17"/>
      <c r="Z39" s="17" t="s">
        <v>36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 t="s">
        <v>37</v>
      </c>
      <c r="AK39" s="17"/>
      <c r="AL39" s="17"/>
      <c r="AM39" s="17"/>
      <c r="AN39" s="17"/>
      <c r="AO39" s="17"/>
      <c r="AP39" s="17"/>
      <c r="AQ39" s="17"/>
      <c r="AR39" s="17"/>
      <c r="AS39" s="17"/>
      <c r="AT39" s="17" t="s">
        <v>38</v>
      </c>
      <c r="AU39" s="17"/>
      <c r="AV39" s="17"/>
      <c r="AW39" s="17"/>
      <c r="AX39" s="17"/>
      <c r="AY39" s="17"/>
      <c r="AZ39" s="17"/>
      <c r="BA39" s="17"/>
      <c r="BB39" s="17"/>
      <c r="BC39" s="17"/>
      <c r="BD39" s="20"/>
      <c r="BO39" s="8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</row>
    <row r="40" ht="21.95" customHeight="1" spans="4:121" x14ac:dyDescent="0.25">
      <c r="D40" s="16" t="s">
        <v>39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 t="s">
        <v>37</v>
      </c>
      <c r="Q40" s="17"/>
      <c r="R40" s="17"/>
      <c r="S40" s="17"/>
      <c r="T40" s="17"/>
      <c r="U40" s="17"/>
      <c r="V40" s="17"/>
      <c r="W40" s="17"/>
      <c r="X40" s="17"/>
      <c r="Y40" s="17"/>
      <c r="Z40" s="17" t="s">
        <v>40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 t="s">
        <v>41</v>
      </c>
      <c r="AK40" s="17"/>
      <c r="AL40" s="17"/>
      <c r="AM40" s="17"/>
      <c r="AN40" s="17"/>
      <c r="AO40" s="17"/>
      <c r="AP40" s="17"/>
      <c r="AQ40" s="17"/>
      <c r="AR40" s="17"/>
      <c r="AS40" s="17"/>
      <c r="AT40" s="17" t="s">
        <v>42</v>
      </c>
      <c r="AU40" s="17"/>
      <c r="AV40" s="17"/>
      <c r="AW40" s="17"/>
      <c r="AX40" s="17"/>
      <c r="AY40" s="17"/>
      <c r="AZ40" s="17"/>
      <c r="BA40" s="17"/>
      <c r="BB40" s="17"/>
      <c r="BC40" s="17"/>
      <c r="BD40" s="20"/>
      <c r="BO40" s="8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</row>
    <row r="41" ht="21.95" customHeight="1" spans="4:121" x14ac:dyDescent="0.25">
      <c r="D41" s="16" t="s">
        <v>43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 t="s">
        <v>37</v>
      </c>
      <c r="Q41" s="17"/>
      <c r="R41" s="17"/>
      <c r="S41" s="17"/>
      <c r="T41" s="17"/>
      <c r="U41" s="17"/>
      <c r="V41" s="17"/>
      <c r="W41" s="17"/>
      <c r="X41" s="17"/>
      <c r="Y41" s="17"/>
      <c r="Z41" s="17" t="s">
        <v>40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 t="s">
        <v>44</v>
      </c>
      <c r="AK41" s="17"/>
      <c r="AL41" s="17"/>
      <c r="AM41" s="17"/>
      <c r="AN41" s="17"/>
      <c r="AO41" s="17"/>
      <c r="AP41" s="17"/>
      <c r="AQ41" s="17"/>
      <c r="AR41" s="17"/>
      <c r="AS41" s="17"/>
      <c r="AT41" s="17" t="s">
        <v>45</v>
      </c>
      <c r="AU41" s="17"/>
      <c r="AV41" s="17"/>
      <c r="AW41" s="17"/>
      <c r="AX41" s="17"/>
      <c r="AY41" s="17"/>
      <c r="AZ41" s="17"/>
      <c r="BA41" s="17"/>
      <c r="BB41" s="17"/>
      <c r="BC41" s="17"/>
      <c r="BD41" s="20"/>
      <c r="BO41" s="8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</row>
    <row r="42" ht="21.95" customHeight="1" spans="4:121" x14ac:dyDescent="0.25">
      <c r="D42" s="16" t="s">
        <v>46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 t="s">
        <v>37</v>
      </c>
      <c r="Q42" s="17"/>
      <c r="R42" s="17"/>
      <c r="S42" s="17"/>
      <c r="T42" s="17"/>
      <c r="U42" s="17"/>
      <c r="V42" s="17"/>
      <c r="W42" s="17"/>
      <c r="X42" s="17"/>
      <c r="Y42" s="17"/>
      <c r="Z42" s="17" t="s">
        <v>40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 t="s">
        <v>47</v>
      </c>
      <c r="AK42" s="17"/>
      <c r="AL42" s="17"/>
      <c r="AM42" s="17"/>
      <c r="AN42" s="17"/>
      <c r="AO42" s="17"/>
      <c r="AP42" s="17"/>
      <c r="AQ42" s="17"/>
      <c r="AR42" s="17"/>
      <c r="AS42" s="17"/>
      <c r="AT42" s="17" t="s">
        <v>48</v>
      </c>
      <c r="AU42" s="17"/>
      <c r="AV42" s="17"/>
      <c r="AW42" s="17"/>
      <c r="AX42" s="17"/>
      <c r="AY42" s="17"/>
      <c r="AZ42" s="17"/>
      <c r="BA42" s="17"/>
      <c r="BB42" s="17"/>
      <c r="BC42" s="17"/>
      <c r="BD42" s="20"/>
      <c r="BO42" s="8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</row>
    <row r="43" ht="21.95" customHeight="1" spans="4:121" x14ac:dyDescent="0.25">
      <c r="D43" s="16" t="s">
        <v>49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 t="s">
        <v>37</v>
      </c>
      <c r="Q43" s="17"/>
      <c r="R43" s="17"/>
      <c r="S43" s="17"/>
      <c r="T43" s="17"/>
      <c r="U43" s="17"/>
      <c r="V43" s="17"/>
      <c r="W43" s="17"/>
      <c r="X43" s="17"/>
      <c r="Y43" s="17"/>
      <c r="Z43" s="17" t="s">
        <v>50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 t="s">
        <v>51</v>
      </c>
      <c r="AK43" s="17"/>
      <c r="AL43" s="17"/>
      <c r="AM43" s="17"/>
      <c r="AN43" s="17"/>
      <c r="AO43" s="17"/>
      <c r="AP43" s="17"/>
      <c r="AQ43" s="17"/>
      <c r="AR43" s="17"/>
      <c r="AS43" s="17"/>
      <c r="AT43" s="17" t="s">
        <v>52</v>
      </c>
      <c r="AU43" s="17"/>
      <c r="AV43" s="17"/>
      <c r="AW43" s="17"/>
      <c r="AX43" s="17"/>
      <c r="AY43" s="17"/>
      <c r="AZ43" s="17"/>
      <c r="BA43" s="17"/>
      <c r="BB43" s="17"/>
      <c r="BC43" s="17"/>
      <c r="BD43" s="20"/>
      <c r="BO43" s="8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</row>
    <row r="44" ht="21.95" customHeight="1" spans="4:121" x14ac:dyDescent="0.25">
      <c r="D44" s="16" t="s">
        <v>53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 t="s">
        <v>37</v>
      </c>
      <c r="Q44" s="17"/>
      <c r="R44" s="17"/>
      <c r="S44" s="17"/>
      <c r="T44" s="17"/>
      <c r="U44" s="17"/>
      <c r="V44" s="17"/>
      <c r="W44" s="17"/>
      <c r="X44" s="17"/>
      <c r="Y44" s="17"/>
      <c r="Z44" s="17" t="s">
        <v>54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 t="s">
        <v>51</v>
      </c>
      <c r="AK44" s="17"/>
      <c r="AL44" s="17"/>
      <c r="AM44" s="17"/>
      <c r="AN44" s="17"/>
      <c r="AO44" s="17"/>
      <c r="AP44" s="17"/>
      <c r="AQ44" s="17"/>
      <c r="AR44" s="17"/>
      <c r="AS44" s="17"/>
      <c r="AT44" s="17" t="s">
        <v>52</v>
      </c>
      <c r="AU44" s="17"/>
      <c r="AV44" s="17"/>
      <c r="AW44" s="17"/>
      <c r="AX44" s="17"/>
      <c r="AY44" s="17"/>
      <c r="AZ44" s="17"/>
      <c r="BA44" s="17"/>
      <c r="BB44" s="17"/>
      <c r="BC44" s="17"/>
      <c r="BD44" s="20"/>
      <c r="BO44" s="8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</row>
    <row r="45" ht="21.95" customHeight="1" spans="4:121" x14ac:dyDescent="0.25">
      <c r="D45" s="16" t="s">
        <v>55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 t="s">
        <v>37</v>
      </c>
      <c r="Q45" s="17"/>
      <c r="R45" s="17"/>
      <c r="S45" s="17"/>
      <c r="T45" s="17"/>
      <c r="U45" s="17"/>
      <c r="V45" s="17"/>
      <c r="W45" s="17"/>
      <c r="X45" s="17"/>
      <c r="Y45" s="17"/>
      <c r="Z45" s="23" t="s">
        <v>56</v>
      </c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5"/>
      <c r="BD45" s="20"/>
      <c r="BO45" s="8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</row>
    <row r="46" ht="21.95" customHeight="1" spans="4:67" x14ac:dyDescent="0.25">
      <c r="D46" s="16" t="s">
        <v>57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 t="s">
        <v>58</v>
      </c>
      <c r="Q46" s="17"/>
      <c r="R46" s="17"/>
      <c r="S46" s="17"/>
      <c r="T46" s="17"/>
      <c r="U46" s="17"/>
      <c r="V46" s="17"/>
      <c r="W46" s="17"/>
      <c r="X46" s="17"/>
      <c r="Y46" s="17"/>
      <c r="Z46" s="17" t="s">
        <v>59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 t="s">
        <v>37</v>
      </c>
      <c r="AK46" s="17"/>
      <c r="AL46" s="17"/>
      <c r="AM46" s="17"/>
      <c r="AN46" s="17"/>
      <c r="AO46" s="17"/>
      <c r="AP46" s="17"/>
      <c r="AQ46" s="17"/>
      <c r="AR46" s="17"/>
      <c r="AS46" s="17"/>
      <c r="AT46" s="17" t="s">
        <v>29</v>
      </c>
      <c r="AU46" s="17"/>
      <c r="AV46" s="17"/>
      <c r="AW46" s="17"/>
      <c r="AX46" s="17"/>
      <c r="AY46" s="17"/>
      <c r="AZ46" s="17"/>
      <c r="BA46" s="17"/>
      <c r="BB46" s="17"/>
      <c r="BC46" s="17"/>
      <c r="BD46" s="20"/>
      <c r="BO46" s="8"/>
    </row>
    <row r="47" ht="21.95" customHeight="1" spans="4:67" x14ac:dyDescent="0.25">
      <c r="D47" s="16" t="s">
        <v>60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 t="s">
        <v>37</v>
      </c>
      <c r="Q47" s="17"/>
      <c r="R47" s="17"/>
      <c r="S47" s="17"/>
      <c r="T47" s="17"/>
      <c r="U47" s="17"/>
      <c r="V47" s="17"/>
      <c r="W47" s="17"/>
      <c r="X47" s="17"/>
      <c r="Y47" s="17"/>
      <c r="Z47" s="17" t="s">
        <v>59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 t="s">
        <v>37</v>
      </c>
      <c r="AK47" s="17"/>
      <c r="AL47" s="17"/>
      <c r="AM47" s="17"/>
      <c r="AN47" s="17"/>
      <c r="AO47" s="17"/>
      <c r="AP47" s="17"/>
      <c r="AQ47" s="17"/>
      <c r="AR47" s="17"/>
      <c r="AS47" s="17"/>
      <c r="AT47" s="17" t="s">
        <v>45</v>
      </c>
      <c r="AU47" s="17"/>
      <c r="AV47" s="17"/>
      <c r="AW47" s="17"/>
      <c r="AX47" s="17"/>
      <c r="AY47" s="17"/>
      <c r="AZ47" s="17"/>
      <c r="BA47" s="17"/>
      <c r="BB47" s="17"/>
      <c r="BC47" s="17"/>
      <c r="BD47" s="13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1"/>
    </row>
    <row r="51" ht="21.95" customHeight="1" spans="3:3" x14ac:dyDescent="0.25">
      <c r="C51" s="3" t="s">
        <v>61</v>
      </c>
    </row>
    <row r="52" ht="9.95" customHeight="1" spans="4:4" x14ac:dyDescent="0.25">
      <c r="D52" s="26"/>
    </row>
    <row r="53" ht="21.95" customHeight="1" spans="4:4" x14ac:dyDescent="0.25">
      <c r="D53" s="26" t="s">
        <v>62</v>
      </c>
    </row>
    <row r="54" ht="9.95" customHeight="1" spans="4:4" x14ac:dyDescent="0.25">
      <c r="D54" s="26"/>
    </row>
    <row r="55" ht="21.95" customHeight="1" spans="4:67" x14ac:dyDescent="0.25">
      <c r="D55" s="15" t="s">
        <v>63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 t="s">
        <v>64</v>
      </c>
      <c r="Q55" s="15"/>
      <c r="R55" s="15"/>
      <c r="S55" s="15"/>
      <c r="T55" s="15"/>
      <c r="U55" s="15"/>
      <c r="V55" s="15"/>
      <c r="W55" s="15"/>
      <c r="X55" s="15"/>
      <c r="Y55" s="15"/>
      <c r="Z55" s="15" t="s">
        <v>65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 t="s">
        <v>66</v>
      </c>
      <c r="AK55" s="15"/>
      <c r="AL55" s="15"/>
      <c r="AM55" s="15"/>
      <c r="AN55" s="15"/>
      <c r="AO55" s="15"/>
      <c r="AP55" s="15"/>
      <c r="AQ55" s="15"/>
      <c r="AR55" s="15"/>
      <c r="AS55" s="15"/>
      <c r="AT55" s="15" t="s">
        <v>67</v>
      </c>
      <c r="AU55" s="15"/>
      <c r="AV55" s="15"/>
      <c r="AW55" s="15"/>
      <c r="AX55" s="15"/>
      <c r="AY55" s="15"/>
      <c r="AZ55" s="15"/>
      <c r="BA55" s="15"/>
      <c r="BB55" s="15"/>
      <c r="BC55" s="15"/>
      <c r="BD55" s="15" t="s">
        <v>25</v>
      </c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</row>
    <row r="56" ht="21.95" customHeight="1" spans="4:67" x14ac:dyDescent="0.25">
      <c r="D56" s="27" t="s">
        <v>68</v>
      </c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9"/>
      <c r="P56" s="18">
        <v>0.05</v>
      </c>
      <c r="Q56" s="17"/>
      <c r="R56" s="17"/>
      <c r="S56" s="17"/>
      <c r="T56" s="17"/>
      <c r="U56" s="17"/>
      <c r="V56" s="17"/>
      <c r="W56" s="17"/>
      <c r="X56" s="17"/>
      <c r="Y56" s="17"/>
      <c r="Z56" s="18">
        <v>0.1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8">
        <v>0.15</v>
      </c>
      <c r="AK56" s="17"/>
      <c r="AL56" s="17"/>
      <c r="AM56" s="17"/>
      <c r="AN56" s="17"/>
      <c r="AO56" s="17"/>
      <c r="AP56" s="17"/>
      <c r="AQ56" s="17"/>
      <c r="AR56" s="17"/>
      <c r="AS56" s="17"/>
      <c r="AT56" s="18">
        <v>0.2</v>
      </c>
      <c r="AU56" s="17"/>
      <c r="AV56" s="17"/>
      <c r="AW56" s="17"/>
      <c r="AX56" s="17"/>
      <c r="AY56" s="17"/>
      <c r="AZ56" s="17"/>
      <c r="BA56" s="17"/>
      <c r="BB56" s="17"/>
      <c r="BC56" s="17"/>
      <c r="BD56" s="4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6"/>
    </row>
    <row r="57" ht="21.95" customHeight="1" spans="4:67" x14ac:dyDescent="0.25">
      <c r="D57" s="27" t="s">
        <v>69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9"/>
      <c r="P57" s="18">
        <v>0.05</v>
      </c>
      <c r="Q57" s="17"/>
      <c r="R57" s="17"/>
      <c r="S57" s="17"/>
      <c r="T57" s="17"/>
      <c r="U57" s="17"/>
      <c r="V57" s="17"/>
      <c r="W57" s="17"/>
      <c r="X57" s="17"/>
      <c r="Y57" s="17"/>
      <c r="Z57" s="18">
        <v>0.1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8">
        <v>0.15</v>
      </c>
      <c r="AK57" s="17"/>
      <c r="AL57" s="17"/>
      <c r="AM57" s="17"/>
      <c r="AN57" s="17"/>
      <c r="AO57" s="17"/>
      <c r="AP57" s="17"/>
      <c r="AQ57" s="17"/>
      <c r="AR57" s="17"/>
      <c r="AS57" s="17"/>
      <c r="AT57" s="18">
        <v>0.2</v>
      </c>
      <c r="AU57" s="17"/>
      <c r="AV57" s="17"/>
      <c r="AW57" s="17"/>
      <c r="AX57" s="17"/>
      <c r="AY57" s="17"/>
      <c r="AZ57" s="17"/>
      <c r="BA57" s="17"/>
      <c r="BB57" s="17"/>
      <c r="BC57" s="17"/>
      <c r="BD57" s="13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1"/>
    </row>
    <row r="58" ht="7.5" customHeight="1" x14ac:dyDescent="0.25"/>
    <row r="59" ht="21.95" customHeight="1" spans="4:4" x14ac:dyDescent="0.25">
      <c r="D59" s="1" t="s">
        <v>70</v>
      </c>
    </row>
    <row r="60" ht="21.95" customHeight="1" spans="4:4" x14ac:dyDescent="0.25">
      <c r="D60" s="1" t="s">
        <v>71</v>
      </c>
    </row>
    <row r="62" ht="21.95" customHeight="1" spans="4:4" x14ac:dyDescent="0.25">
      <c r="D62" s="26" t="s">
        <v>72</v>
      </c>
    </row>
    <row r="63" ht="9.95" customHeight="1" x14ac:dyDescent="0.25"/>
    <row r="64" ht="21.95" customHeight="1" spans="4:67" x14ac:dyDescent="0.25">
      <c r="D64" s="15" t="s">
        <v>63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 t="s">
        <v>73</v>
      </c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 t="s">
        <v>74</v>
      </c>
      <c r="AU64" s="15"/>
      <c r="AV64" s="15"/>
      <c r="AW64" s="15"/>
      <c r="AX64" s="15"/>
      <c r="AY64" s="15"/>
      <c r="AZ64" s="15"/>
      <c r="BA64" s="15"/>
      <c r="BB64" s="15"/>
      <c r="BC64" s="15"/>
      <c r="BD64" s="15" t="s">
        <v>75</v>
      </c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</row>
    <row r="65" ht="21.95" customHeight="1" spans="4:95" x14ac:dyDescent="0.25">
      <c r="D65" s="30" t="s">
        <v>76</v>
      </c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1" t="s">
        <v>77</v>
      </c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18" t="s">
        <v>78</v>
      </c>
      <c r="AU65" s="17"/>
      <c r="AV65" s="17"/>
      <c r="AW65" s="17"/>
      <c r="AX65" s="17"/>
      <c r="AY65" s="17"/>
      <c r="AZ65" s="17"/>
      <c r="BA65" s="17"/>
      <c r="BB65" s="17"/>
      <c r="BC65" s="17"/>
      <c r="BD65" s="17" t="s">
        <v>41</v>
      </c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X65" s="32">
        <f>3000/3700*100-100</f>
        <v>-18.91891891891892</v>
      </c>
      <c r="BY65" s="32"/>
      <c r="BZ65" s="32"/>
      <c r="CA65" s="32"/>
      <c r="CB65" s="32"/>
      <c r="CC65" s="32"/>
      <c r="CD65" s="32"/>
      <c r="CE65" s="32"/>
      <c r="CF65" s="32"/>
      <c r="CG65" s="32"/>
      <c r="CH65" s="32">
        <f>2000+400+3700</f>
        <v>6100</v>
      </c>
      <c r="CI65" s="32"/>
      <c r="CJ65" s="32"/>
      <c r="CK65" s="32"/>
      <c r="CL65" s="32"/>
      <c r="CM65" s="32"/>
      <c r="CN65" s="32"/>
      <c r="CO65" s="32"/>
      <c r="CP65" s="32"/>
      <c r="CQ65" s="32"/>
    </row>
    <row r="66" ht="21.95" customHeight="1" spans="4:85" x14ac:dyDescent="0.25">
      <c r="D66" s="30" t="s">
        <v>79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1" t="s">
        <v>80</v>
      </c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18" t="s">
        <v>81</v>
      </c>
      <c r="AU66" s="17"/>
      <c r="AV66" s="17"/>
      <c r="AW66" s="17"/>
      <c r="AX66" s="17"/>
      <c r="AY66" s="17"/>
      <c r="AZ66" s="17"/>
      <c r="BA66" s="17"/>
      <c r="BB66" s="17"/>
      <c r="BC66" s="17"/>
      <c r="BD66" s="17" t="s">
        <v>82</v>
      </c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X66" s="32">
        <f>4000/4900*100-100</f>
        <v>-18.367346938775512</v>
      </c>
      <c r="BY66" s="32"/>
      <c r="BZ66" s="32"/>
      <c r="CA66" s="32"/>
      <c r="CB66" s="32"/>
      <c r="CC66" s="32"/>
      <c r="CD66" s="32"/>
      <c r="CE66" s="32"/>
      <c r="CF66" s="32"/>
      <c r="CG66" s="32"/>
    </row>
    <row r="67" ht="21.95" customHeight="1" spans="4:85" x14ac:dyDescent="0.25">
      <c r="D67" s="33" t="s">
        <v>83</v>
      </c>
      <c r="E67" s="34"/>
      <c r="F67" s="34"/>
      <c r="G67" s="34"/>
      <c r="H67" s="34"/>
      <c r="I67" s="35"/>
      <c r="J67" s="30" t="s">
        <v>84</v>
      </c>
      <c r="K67" s="30"/>
      <c r="L67" s="30"/>
      <c r="M67" s="30"/>
      <c r="N67" s="30"/>
      <c r="O67" s="30"/>
      <c r="P67" s="31" t="s">
        <v>85</v>
      </c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18" t="s">
        <v>86</v>
      </c>
      <c r="AU67" s="17"/>
      <c r="AV67" s="17"/>
      <c r="AW67" s="17"/>
      <c r="AX67" s="17"/>
      <c r="AY67" s="17"/>
      <c r="AZ67" s="17"/>
      <c r="BA67" s="17"/>
      <c r="BB67" s="17"/>
      <c r="BC67" s="17"/>
      <c r="BD67" s="17" t="s">
        <v>87</v>
      </c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X67" s="32">
        <f>4600/5600*100-100</f>
        <v>-17.85714285714286</v>
      </c>
      <c r="BY67" s="32"/>
      <c r="BZ67" s="32"/>
      <c r="CA67" s="32"/>
      <c r="CB67" s="32"/>
      <c r="CC67" s="32"/>
      <c r="CD67" s="32"/>
      <c r="CE67" s="32"/>
      <c r="CF67" s="32"/>
      <c r="CG67" s="32"/>
    </row>
    <row r="68" ht="21.95" customHeight="1" spans="4:86" x14ac:dyDescent="0.25">
      <c r="D68" s="36"/>
      <c r="E68" s="37"/>
      <c r="F68" s="37"/>
      <c r="G68" s="37"/>
      <c r="H68" s="37"/>
      <c r="I68" s="38"/>
      <c r="J68" s="30" t="s">
        <v>88</v>
      </c>
      <c r="K68" s="30"/>
      <c r="L68" s="30"/>
      <c r="M68" s="30"/>
      <c r="N68" s="30"/>
      <c r="O68" s="30"/>
      <c r="P68" s="31" t="s">
        <v>89</v>
      </c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18" t="s">
        <v>90</v>
      </c>
      <c r="AU68" s="17"/>
      <c r="AV68" s="17"/>
      <c r="AW68" s="17"/>
      <c r="AX68" s="17"/>
      <c r="AY68" s="17"/>
      <c r="AZ68" s="17"/>
      <c r="BA68" s="17"/>
      <c r="BB68" s="17"/>
      <c r="BC68" s="17"/>
      <c r="BD68" s="17" t="s">
        <v>91</v>
      </c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X68" s="32">
        <f>5500/7100*100-100</f>
        <v>-22.535211267605632</v>
      </c>
      <c r="BY68" s="32"/>
      <c r="BZ68" s="32"/>
      <c r="CA68" s="32"/>
      <c r="CB68" s="32"/>
      <c r="CC68" s="32"/>
      <c r="CD68" s="32"/>
      <c r="CE68" s="32"/>
      <c r="CF68" s="32"/>
      <c r="CG68" s="32"/>
      <c r="CH68" s="1" t="s">
        <v>92</v>
      </c>
    </row>
    <row r="69" ht="21.95" customHeight="1" spans="4:85" x14ac:dyDescent="0.25">
      <c r="D69" s="39"/>
      <c r="E69" s="40"/>
      <c r="F69" s="40"/>
      <c r="G69" s="40"/>
      <c r="H69" s="40"/>
      <c r="I69" s="41"/>
      <c r="J69" s="30" t="s">
        <v>93</v>
      </c>
      <c r="K69" s="30"/>
      <c r="L69" s="30"/>
      <c r="M69" s="30"/>
      <c r="N69" s="30"/>
      <c r="O69" s="30"/>
      <c r="P69" s="31" t="s">
        <v>94</v>
      </c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18" t="s">
        <v>95</v>
      </c>
      <c r="AU69" s="17"/>
      <c r="AV69" s="17"/>
      <c r="AW69" s="17"/>
      <c r="AX69" s="17"/>
      <c r="AY69" s="17"/>
      <c r="AZ69" s="17"/>
      <c r="BA69" s="17"/>
      <c r="BB69" s="17"/>
      <c r="BC69" s="17"/>
      <c r="BD69" s="17" t="s">
        <v>96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X69" s="32">
        <f>3300/4100*100-100</f>
        <v>-19.51219512195121</v>
      </c>
      <c r="BY69" s="32"/>
      <c r="BZ69" s="32"/>
      <c r="CA69" s="32"/>
      <c r="CB69" s="32"/>
      <c r="CC69" s="32"/>
      <c r="CD69" s="32"/>
      <c r="CE69" s="32"/>
      <c r="CF69" s="32"/>
      <c r="CG69" s="32"/>
    </row>
    <row r="71" ht="21.95" customHeight="1" spans="3:3" x14ac:dyDescent="0.25">
      <c r="C71" s="3" t="s">
        <v>97</v>
      </c>
    </row>
    <row r="72" ht="9.95" customHeight="1" x14ac:dyDescent="0.25"/>
    <row r="73" ht="21.95" customHeight="1" spans="4:4" x14ac:dyDescent="0.25">
      <c r="D73" s="26" t="s">
        <v>98</v>
      </c>
    </row>
    <row r="74" ht="9.95" customHeight="1" x14ac:dyDescent="0.25"/>
    <row r="75" ht="21.95" customHeight="1" spans="4:67" x14ac:dyDescent="0.25">
      <c r="D75" s="15" t="s">
        <v>63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42"/>
      <c r="P75" s="15" t="s">
        <v>99</v>
      </c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43" t="s">
        <v>25</v>
      </c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</row>
    <row r="76" ht="21.95" customHeight="1" spans="4:67" x14ac:dyDescent="0.25">
      <c r="D76" s="44" t="s">
        <v>100</v>
      </c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5"/>
      <c r="P76" s="7" t="s">
        <v>101</v>
      </c>
      <c r="BC76" s="8"/>
      <c r="BD76" s="4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6"/>
    </row>
    <row r="77" ht="21.95" customHeight="1" spans="4:67" x14ac:dyDescent="0.25">
      <c r="D77" s="45" t="s">
        <v>102</v>
      </c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7" t="s">
        <v>103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6"/>
      <c r="BD77" s="4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6"/>
    </row>
    <row r="78" ht="21.95" customHeight="1" spans="4:67" x14ac:dyDescent="0.25">
      <c r="D78" s="48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9" t="s">
        <v>104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1"/>
      <c r="BD78" s="13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1"/>
    </row>
    <row r="79" ht="6.95" customHeight="1" spans="4:67" x14ac:dyDescent="0.25">
      <c r="D79" s="45" t="s">
        <v>105</v>
      </c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50"/>
      <c r="P79" s="7"/>
      <c r="BC79" s="8"/>
      <c r="BD79" s="20"/>
      <c r="BO79" s="8"/>
    </row>
    <row r="80" ht="21.95" customHeight="1" spans="4:67" x14ac:dyDescent="0.25">
      <c r="D80" s="51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3"/>
      <c r="P80" s="7" t="s">
        <v>106</v>
      </c>
      <c r="BC80" s="8"/>
      <c r="BD80" s="20"/>
      <c r="BO80" s="8"/>
    </row>
    <row r="81" ht="21.95" customHeight="1" spans="4:67" x14ac:dyDescent="0.25">
      <c r="D81" s="51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  <c r="P81" s="7"/>
      <c r="S81" s="54" t="s">
        <v>107</v>
      </c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 t="s">
        <v>108</v>
      </c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 t="s">
        <v>109</v>
      </c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8"/>
      <c r="BD81" s="20" t="s">
        <v>110</v>
      </c>
      <c r="BO81" s="8"/>
    </row>
    <row r="82" ht="21.95" customHeight="1" spans="4:67" x14ac:dyDescent="0.25">
      <c r="D82" s="51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3"/>
      <c r="P82" s="7"/>
      <c r="S82" s="55" t="s">
        <v>111</v>
      </c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 t="s">
        <v>112</v>
      </c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 t="s">
        <v>113</v>
      </c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8"/>
      <c r="BD82" s="20" t="s">
        <v>114</v>
      </c>
      <c r="BO82" s="8"/>
    </row>
    <row r="83" ht="6.95" customHeight="1" spans="4:67" x14ac:dyDescent="0.25">
      <c r="D83" s="48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56"/>
      <c r="P83" s="9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1"/>
      <c r="BD83" s="13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1"/>
    </row>
    <row r="85" ht="21.95" customHeight="1" spans="3:3" x14ac:dyDescent="0.25">
      <c r="C85" s="3" t="s">
        <v>115</v>
      </c>
    </row>
    <row r="86" ht="6.95" customHeight="1" spans="3:3" x14ac:dyDescent="0.25">
      <c r="C86" s="3"/>
    </row>
    <row r="87" ht="21.95" customHeight="1" spans="4:4" x14ac:dyDescent="0.25">
      <c r="D87" s="1" t="s">
        <v>116</v>
      </c>
    </row>
    <row r="89" ht="21.95" customHeight="1" spans="3:3" x14ac:dyDescent="0.25">
      <c r="C89" s="3" t="s">
        <v>117</v>
      </c>
    </row>
    <row r="90" ht="9.95" customHeight="1" x14ac:dyDescent="0.25"/>
    <row r="91" ht="21.95" customHeight="1" spans="4:4" x14ac:dyDescent="0.25">
      <c r="D91" s="1" t="s">
        <v>118</v>
      </c>
    </row>
    <row r="92" ht="21.95" customHeight="1" spans="4:5" x14ac:dyDescent="0.25">
      <c r="D92" s="1" t="s">
        <v>119</v>
      </c>
      <c r="E92" s="1"/>
    </row>
    <row r="94" ht="21.95" customHeight="1" spans="3:3" x14ac:dyDescent="0.25">
      <c r="C94" s="3" t="s">
        <v>120</v>
      </c>
    </row>
    <row r="95" ht="9.95" customHeight="1" x14ac:dyDescent="0.25"/>
    <row r="96" ht="21.95" customHeight="1" spans="4:4" x14ac:dyDescent="0.25">
      <c r="D96" s="1" t="s">
        <v>121</v>
      </c>
    </row>
    <row r="97" ht="21.95" customHeight="1" spans="4:103" x14ac:dyDescent="0.25">
      <c r="D97" s="1" t="s">
        <v>122</v>
      </c>
      <c r="CH97" s="22">
        <v>56</v>
      </c>
      <c r="CI97" s="22"/>
      <c r="CJ97" s="22"/>
      <c r="CK97" s="22"/>
      <c r="CL97" s="22"/>
      <c r="CM97" s="22"/>
      <c r="CN97" s="22">
        <v>46</v>
      </c>
      <c r="CO97" s="22"/>
      <c r="CP97" s="22"/>
      <c r="CQ97" s="22"/>
      <c r="CR97" s="22"/>
      <c r="CS97" s="22"/>
      <c r="CT97" s="22">
        <f>CN97/CH97*100-100</f>
        <v>-17.85714285714286</v>
      </c>
      <c r="CU97" s="22"/>
      <c r="CV97" s="22"/>
      <c r="CW97" s="22"/>
      <c r="CX97" s="22"/>
      <c r="CY97" s="22"/>
    </row>
    <row r="98" ht="21.95" customHeight="1" spans="4:103" x14ac:dyDescent="0.25">
      <c r="D98" s="1" t="s">
        <v>123</v>
      </c>
      <c r="CH98" s="22">
        <v>57</v>
      </c>
      <c r="CI98" s="22"/>
      <c r="CJ98" s="22"/>
      <c r="CK98" s="22"/>
      <c r="CL98" s="22"/>
      <c r="CM98" s="22"/>
      <c r="CN98" s="22">
        <v>45</v>
      </c>
      <c r="CO98" s="22"/>
      <c r="CP98" s="22"/>
      <c r="CQ98" s="22"/>
      <c r="CR98" s="22"/>
      <c r="CS98" s="22"/>
      <c r="CT98" s="22">
        <f t="shared" ref="CT98:CT99" si="0">CN98/CH98*100-100</f>
        <v>-21.05263157894737</v>
      </c>
      <c r="CU98" s="22"/>
      <c r="CV98" s="22"/>
      <c r="CW98" s="22"/>
      <c r="CX98" s="22"/>
      <c r="CY98" s="22"/>
    </row>
    <row r="99" ht="21.95" customHeight="1" spans="86:103" x14ac:dyDescent="0.25">
      <c r="CH99" s="22">
        <v>61</v>
      </c>
      <c r="CI99" s="22"/>
      <c r="CJ99" s="22"/>
      <c r="CK99" s="22"/>
      <c r="CL99" s="22"/>
      <c r="CM99" s="22"/>
      <c r="CN99" s="22">
        <v>50</v>
      </c>
      <c r="CO99" s="22"/>
      <c r="CP99" s="22"/>
      <c r="CQ99" s="22"/>
      <c r="CR99" s="22"/>
      <c r="CS99" s="22"/>
      <c r="CT99" s="22">
        <f t="shared" si="0"/>
        <v>-18.032786885245898</v>
      </c>
      <c r="CU99" s="22"/>
      <c r="CV99" s="22"/>
      <c r="CW99" s="22"/>
      <c r="CX99" s="22"/>
      <c r="CY99" s="22"/>
    </row>
    <row r="103" ht="21.95" customHeight="1" spans="3:3" x14ac:dyDescent="0.25">
      <c r="C103" s="3" t="s">
        <v>124</v>
      </c>
    </row>
    <row r="104" ht="15" customHeight="1" spans="67:67" x14ac:dyDescent="0.25">
      <c r="BO104" s="57" t="s">
        <v>125</v>
      </c>
    </row>
    <row r="105" ht="26.1" customHeight="1" spans="4:67" x14ac:dyDescent="0.25">
      <c r="D105" s="15" t="s">
        <v>126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 t="s">
        <v>127</v>
      </c>
      <c r="Q105" s="15"/>
      <c r="R105" s="15"/>
      <c r="S105" s="15"/>
      <c r="T105" s="15"/>
      <c r="U105" s="15"/>
      <c r="V105" s="15"/>
      <c r="W105" s="15"/>
      <c r="X105" s="15"/>
      <c r="Y105" s="15"/>
      <c r="Z105" s="15" t="s">
        <v>128</v>
      </c>
      <c r="AA105" s="15"/>
      <c r="AB105" s="15"/>
      <c r="AC105" s="15"/>
      <c r="AD105" s="15"/>
      <c r="AE105" s="15"/>
      <c r="AF105" s="15"/>
      <c r="AG105" s="15"/>
      <c r="AH105" s="15"/>
      <c r="AI105" s="15"/>
      <c r="AJ105" s="15" t="s">
        <v>129</v>
      </c>
      <c r="AK105" s="15"/>
      <c r="AL105" s="15"/>
      <c r="AM105" s="15"/>
      <c r="AN105" s="15"/>
      <c r="AO105" s="15"/>
      <c r="AP105" s="15"/>
      <c r="AQ105" s="15"/>
      <c r="AR105" s="15"/>
      <c r="AS105" s="15"/>
      <c r="AT105" s="15" t="s">
        <v>130</v>
      </c>
      <c r="AU105" s="15"/>
      <c r="AV105" s="15"/>
      <c r="AW105" s="15"/>
      <c r="AX105" s="15"/>
      <c r="AY105" s="15"/>
      <c r="AZ105" s="15"/>
      <c r="BA105" s="15"/>
      <c r="BB105" s="15"/>
      <c r="BC105" s="15"/>
      <c r="BD105" s="15" t="s">
        <v>25</v>
      </c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</row>
    <row r="106" ht="26.1" customHeight="1" spans="4:67" x14ac:dyDescent="0.25">
      <c r="D106" s="17" t="s">
        <v>131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58" t="s">
        <v>132</v>
      </c>
      <c r="Q106" s="58"/>
      <c r="R106" s="58"/>
      <c r="S106" s="58"/>
      <c r="T106" s="58"/>
      <c r="U106" s="58"/>
      <c r="V106" s="58"/>
      <c r="W106" s="58"/>
      <c r="X106" s="58"/>
      <c r="Y106" s="58"/>
      <c r="Z106" s="58" t="s">
        <v>133</v>
      </c>
      <c r="AA106" s="58"/>
      <c r="AB106" s="58"/>
      <c r="AC106" s="58"/>
      <c r="AD106" s="58"/>
      <c r="AE106" s="58"/>
      <c r="AF106" s="58"/>
      <c r="AG106" s="58"/>
      <c r="AH106" s="58"/>
      <c r="AI106" s="58"/>
      <c r="AJ106" s="58" t="s">
        <v>133</v>
      </c>
      <c r="AK106" s="58"/>
      <c r="AL106" s="58"/>
      <c r="AM106" s="58"/>
      <c r="AN106" s="58"/>
      <c r="AO106" s="58"/>
      <c r="AP106" s="58"/>
      <c r="AQ106" s="58"/>
      <c r="AR106" s="58"/>
      <c r="AS106" s="58"/>
      <c r="AT106" s="58" t="s">
        <v>133</v>
      </c>
      <c r="AU106" s="58"/>
      <c r="AV106" s="58"/>
      <c r="AW106" s="58"/>
      <c r="AX106" s="58"/>
      <c r="AY106" s="58"/>
      <c r="AZ106" s="58"/>
      <c r="BA106" s="58"/>
      <c r="BB106" s="58"/>
      <c r="BC106" s="58"/>
      <c r="BD106" s="58" t="s">
        <v>133</v>
      </c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</row>
    <row r="107" ht="26.1" customHeight="1" spans="4:67" x14ac:dyDescent="0.25">
      <c r="D107" s="17" t="s">
        <v>134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58" t="s">
        <v>135</v>
      </c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 t="s">
        <v>133</v>
      </c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 t="s">
        <v>136</v>
      </c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</row>
    <row r="108" ht="26.1" customHeight="1" spans="4:67" x14ac:dyDescent="0.25">
      <c r="D108" s="17" t="s">
        <v>137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58" t="s">
        <v>138</v>
      </c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 t="s">
        <v>133</v>
      </c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 t="s">
        <v>139</v>
      </c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</row>
    <row r="109" ht="26.1" customHeight="1" spans="4:67" x14ac:dyDescent="0.25">
      <c r="D109" s="17" t="s">
        <v>140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58" t="s">
        <v>141</v>
      </c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 t="s">
        <v>133</v>
      </c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</row>
    <row r="110" ht="26.1" customHeight="1" spans="4:67" x14ac:dyDescent="0.25">
      <c r="D110" s="17" t="s">
        <v>142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58" t="s">
        <v>143</v>
      </c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</row>
    <row r="111" ht="26.1" customHeight="1" spans="4:67" x14ac:dyDescent="0.25">
      <c r="D111" s="17" t="s">
        <v>144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58" t="s">
        <v>145</v>
      </c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 t="s">
        <v>146</v>
      </c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</row>
    <row r="112" ht="26.1" customHeight="1" spans="4:67" x14ac:dyDescent="0.25">
      <c r="D112" s="17" t="s">
        <v>147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58" t="s">
        <v>148</v>
      </c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</row>
    <row r="113" ht="26.1" customHeight="1" spans="4:67" x14ac:dyDescent="0.25">
      <c r="D113" s="17" t="s">
        <v>149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58" t="s">
        <v>135</v>
      </c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 t="s">
        <v>133</v>
      </c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</row>
    <row r="114" ht="26.1" customHeight="1" spans="4:67" x14ac:dyDescent="0.25">
      <c r="D114" s="17" t="s">
        <v>150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58" t="s">
        <v>135</v>
      </c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</row>
    <row r="115" ht="26.1" customHeight="1" spans="4:67" x14ac:dyDescent="0.25">
      <c r="D115" s="17" t="s">
        <v>151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58" t="s">
        <v>143</v>
      </c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 t="s">
        <v>133</v>
      </c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</row>
    <row r="116" ht="26.1" customHeight="1" spans="4:67" x14ac:dyDescent="0.25">
      <c r="D116" s="17" t="s">
        <v>152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58" t="s">
        <v>133</v>
      </c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</row>
    <row r="117" ht="26.1" customHeight="1" spans="4:67" x14ac:dyDescent="0.25">
      <c r="D117" s="17" t="s">
        <v>153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58" t="s">
        <v>154</v>
      </c>
      <c r="Q117" s="58"/>
      <c r="R117" s="58"/>
      <c r="S117" s="58"/>
      <c r="T117" s="58"/>
      <c r="U117" s="58"/>
      <c r="V117" s="58"/>
      <c r="W117" s="58"/>
      <c r="X117" s="58"/>
      <c r="Y117" s="58"/>
      <c r="Z117" s="58" t="s">
        <v>143</v>
      </c>
      <c r="AA117" s="58"/>
      <c r="AB117" s="58"/>
      <c r="AC117" s="58"/>
      <c r="AD117" s="58"/>
      <c r="AE117" s="58"/>
      <c r="AF117" s="58"/>
      <c r="AG117" s="58"/>
      <c r="AH117" s="58"/>
      <c r="AI117" s="58"/>
      <c r="AJ117" s="58" t="s">
        <v>133</v>
      </c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</row>
    <row r="118" ht="26.1" customHeight="1" spans="4:67" x14ac:dyDescent="0.25">
      <c r="D118" s="17" t="s">
        <v>155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58" t="s">
        <v>156</v>
      </c>
      <c r="Q118" s="58"/>
      <c r="R118" s="58"/>
      <c r="S118" s="58"/>
      <c r="T118" s="58"/>
      <c r="U118" s="58"/>
      <c r="V118" s="58"/>
      <c r="W118" s="58"/>
      <c r="X118" s="58"/>
      <c r="Y118" s="58"/>
      <c r="Z118" s="58" t="s">
        <v>157</v>
      </c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</row>
    <row r="119" ht="26.1" customHeight="1" spans="4:67" x14ac:dyDescent="0.25">
      <c r="D119" s="17" t="s">
        <v>158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58" t="s">
        <v>143</v>
      </c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 t="s">
        <v>133</v>
      </c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</row>
    <row r="120" ht="26.1" customHeight="1" spans="4:67" x14ac:dyDescent="0.25">
      <c r="D120" s="17" t="s">
        <v>159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58" t="s">
        <v>154</v>
      </c>
      <c r="Q120" s="58"/>
      <c r="R120" s="58"/>
      <c r="S120" s="58"/>
      <c r="T120" s="58"/>
      <c r="U120" s="58"/>
      <c r="V120" s="58"/>
      <c r="W120" s="58"/>
      <c r="X120" s="58"/>
      <c r="Y120" s="58"/>
      <c r="Z120" s="58" t="s">
        <v>143</v>
      </c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</row>
    <row r="121" ht="26.1" customHeight="1" spans="4:67" x14ac:dyDescent="0.25">
      <c r="D121" s="17" t="s">
        <v>160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58" t="s">
        <v>133</v>
      </c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</row>
    <row r="122" ht="26.1" customHeight="1" spans="4:67" x14ac:dyDescent="0.25">
      <c r="D122" s="17" t="s">
        <v>161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58" t="s">
        <v>162</v>
      </c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 t="s">
        <v>163</v>
      </c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</row>
    <row r="123" ht="26.1" customHeight="1" spans="4:67" x14ac:dyDescent="0.25">
      <c r="D123" s="17" t="s">
        <v>164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58" t="s">
        <v>135</v>
      </c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</row>
    <row r="124" ht="26.1" customHeight="1" spans="4:67" x14ac:dyDescent="0.25">
      <c r="D124" s="17" t="s">
        <v>165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58" t="s">
        <v>133</v>
      </c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</row>
    <row r="125" ht="26.1" customHeight="1" spans="4:67" x14ac:dyDescent="0.25">
      <c r="D125" s="17" t="s">
        <v>166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58" t="s">
        <v>167</v>
      </c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 t="s">
        <v>133</v>
      </c>
      <c r="AK125" s="58"/>
      <c r="AL125" s="58"/>
      <c r="AM125" s="58"/>
      <c r="AN125" s="58"/>
      <c r="AO125" s="58"/>
      <c r="AP125" s="58"/>
      <c r="AQ125" s="58"/>
      <c r="AR125" s="58"/>
      <c r="AS125" s="58"/>
      <c r="AT125" s="58" t="s">
        <v>133</v>
      </c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</row>
    <row r="126" ht="26.1" customHeight="1" spans="4:67" x14ac:dyDescent="0.25">
      <c r="D126" s="17" t="s">
        <v>168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58" t="s">
        <v>133</v>
      </c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</row>
    <row r="127" ht="26.1" customHeight="1" spans="4:67" x14ac:dyDescent="0.25">
      <c r="D127" s="17" t="s">
        <v>169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58" t="s">
        <v>170</v>
      </c>
      <c r="Q127" s="58"/>
      <c r="R127" s="58"/>
      <c r="S127" s="58"/>
      <c r="T127" s="58"/>
      <c r="U127" s="58"/>
      <c r="V127" s="58"/>
      <c r="W127" s="58"/>
      <c r="X127" s="58"/>
      <c r="Y127" s="58"/>
      <c r="Z127" s="58" t="s">
        <v>171</v>
      </c>
      <c r="AA127" s="58"/>
      <c r="AB127" s="58"/>
      <c r="AC127" s="58"/>
      <c r="AD127" s="58"/>
      <c r="AE127" s="58"/>
      <c r="AF127" s="58"/>
      <c r="AG127" s="58"/>
      <c r="AH127" s="58"/>
      <c r="AI127" s="58"/>
      <c r="AJ127" s="58" t="s">
        <v>133</v>
      </c>
      <c r="AK127" s="58"/>
      <c r="AL127" s="58"/>
      <c r="AM127" s="58"/>
      <c r="AN127" s="58"/>
      <c r="AO127" s="58"/>
      <c r="AP127" s="58"/>
      <c r="AQ127" s="58"/>
      <c r="AR127" s="58"/>
      <c r="AS127" s="58"/>
      <c r="AT127" s="58" t="s">
        <v>133</v>
      </c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</row>
    <row r="128" ht="26.1" customHeight="1" spans="4:67" x14ac:dyDescent="0.25">
      <c r="D128" s="17" t="s">
        <v>172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58" t="s">
        <v>143</v>
      </c>
      <c r="Q128" s="58"/>
      <c r="R128" s="58"/>
      <c r="S128" s="58"/>
      <c r="T128" s="58"/>
      <c r="U128" s="58"/>
      <c r="V128" s="58"/>
      <c r="W128" s="58"/>
      <c r="X128" s="58"/>
      <c r="Y128" s="58"/>
      <c r="Z128" s="58" t="s">
        <v>133</v>
      </c>
      <c r="AA128" s="58"/>
      <c r="AB128" s="58"/>
      <c r="AC128" s="58"/>
      <c r="AD128" s="58"/>
      <c r="AE128" s="58"/>
      <c r="AF128" s="58"/>
      <c r="AG128" s="58"/>
      <c r="AH128" s="58"/>
      <c r="AI128" s="58"/>
      <c r="AJ128" s="58" t="s">
        <v>133</v>
      </c>
      <c r="AK128" s="58"/>
      <c r="AL128" s="58"/>
      <c r="AM128" s="58"/>
      <c r="AN128" s="58"/>
      <c r="AO128" s="58"/>
      <c r="AP128" s="58"/>
      <c r="AQ128" s="58"/>
      <c r="AR128" s="58"/>
      <c r="AS128" s="58"/>
      <c r="AT128" s="58" t="s">
        <v>133</v>
      </c>
      <c r="AU128" s="58"/>
      <c r="AV128" s="58"/>
      <c r="AW128" s="58"/>
      <c r="AX128" s="58"/>
      <c r="AY128" s="58"/>
      <c r="AZ128" s="58"/>
      <c r="BA128" s="58"/>
      <c r="BB128" s="58"/>
      <c r="BC128" s="58"/>
      <c r="BD128" s="58" t="s">
        <v>136</v>
      </c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</row>
    <row r="129" ht="26.1" customHeight="1" spans="4:67" x14ac:dyDescent="0.25">
      <c r="D129" s="17" t="s">
        <v>173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58" t="s">
        <v>154</v>
      </c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60"/>
    </row>
    <row r="130" ht="26.1" customHeight="1" spans="4:67" x14ac:dyDescent="0.25">
      <c r="D130" s="17" t="s">
        <v>174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58" t="s">
        <v>154</v>
      </c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60"/>
    </row>
    <row r="131" ht="26.1" customHeight="1" spans="4:67" x14ac:dyDescent="0.25">
      <c r="D131" s="17" t="s">
        <v>175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58" t="s">
        <v>154</v>
      </c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60"/>
    </row>
    <row r="132" ht="26.1" customHeight="1" spans="4:67" x14ac:dyDescent="0.25">
      <c r="D132" s="17" t="s">
        <v>176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58" t="s">
        <v>154</v>
      </c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60"/>
    </row>
    <row r="133" ht="26.1" customHeight="1" spans="4:67" x14ac:dyDescent="0.25">
      <c r="D133" s="17" t="s">
        <v>177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58" t="s">
        <v>154</v>
      </c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60"/>
    </row>
    <row r="134" ht="6.95" customHeight="1" spans="4:67" x14ac:dyDescent="0.25">
      <c r="D134" s="61" t="s">
        <v>178</v>
      </c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62"/>
      <c r="P134" s="4" t="s">
        <v>179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6"/>
    </row>
    <row r="135" ht="26.1" customHeight="1" spans="4:67" x14ac:dyDescent="0.25">
      <c r="D135" s="63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64"/>
      <c r="P135" s="20"/>
      <c r="Q135" s="1" t="s">
        <v>180</v>
      </c>
      <c r="BO135" s="8"/>
    </row>
    <row r="136" ht="26.1" customHeight="1" spans="4:67" x14ac:dyDescent="0.25">
      <c r="D136" s="63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64"/>
      <c r="P136" s="20"/>
      <c r="Q136" s="1" t="s">
        <v>181</v>
      </c>
      <c r="BO136" s="8"/>
    </row>
    <row r="137" ht="6.95" customHeight="1" spans="4:67" x14ac:dyDescent="0.25">
      <c r="D137" s="65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7"/>
      <c r="P137" s="13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1"/>
    </row>
    <row r="144" ht="21.95" customHeight="1" spans="3:3" x14ac:dyDescent="0.25">
      <c r="C144" s="3" t="s">
        <v>182</v>
      </c>
    </row>
    <row r="146" ht="21.95" customHeight="1" spans="4:63" x14ac:dyDescent="0.25">
      <c r="D146" s="68" t="s">
        <v>183</v>
      </c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</row>
    <row r="147" ht="9.95" customHeight="1" spans="4:63" x14ac:dyDescent="0.25">
      <c r="D147" s="68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</row>
    <row r="148" ht="21.95" customHeight="1" spans="4:67" x14ac:dyDescent="0.25">
      <c r="D148" s="70" t="s">
        <v>184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2"/>
    </row>
    <row r="149" ht="21.95" customHeight="1" spans="4:67" x14ac:dyDescent="0.25">
      <c r="D149" s="73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  <c r="BN149" s="74"/>
      <c r="BO149" s="75"/>
    </row>
    <row r="150" ht="21.95" customHeight="1" spans="4:67" x14ac:dyDescent="0.25"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  <c r="BM150" s="69"/>
      <c r="BN150" s="69"/>
      <c r="BO150" s="69"/>
    </row>
    <row r="151" ht="21.95" customHeight="1" spans="4:67" x14ac:dyDescent="0.25">
      <c r="D151" s="76" t="s">
        <v>185</v>
      </c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69"/>
      <c r="BN151" s="69"/>
      <c r="BO151" s="69"/>
    </row>
    <row r="152" ht="18.95" customHeight="1" spans="4:67" x14ac:dyDescent="0.25">
      <c r="D152" s="77" t="s">
        <v>186</v>
      </c>
      <c r="E152" s="78"/>
      <c r="F152" s="78"/>
      <c r="G152" s="78"/>
      <c r="H152" s="78"/>
      <c r="I152" s="78"/>
      <c r="J152" s="78"/>
      <c r="K152" s="78"/>
      <c r="L152" s="78"/>
      <c r="M152" s="78"/>
      <c r="N152" s="79" t="s">
        <v>187</v>
      </c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8" t="s">
        <v>188</v>
      </c>
      <c r="AK152" s="78"/>
      <c r="AL152" s="78"/>
      <c r="AM152" s="78"/>
      <c r="AN152" s="78"/>
      <c r="AO152" s="78"/>
      <c r="AP152" s="78"/>
      <c r="AQ152" s="78"/>
      <c r="AR152" s="78"/>
      <c r="AS152" s="78"/>
      <c r="AT152" s="79" t="s">
        <v>189</v>
      </c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</row>
    <row r="153" ht="18.95" customHeight="1" spans="4:67" x14ac:dyDescent="0.25"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</row>
    <row r="154" ht="18.95" customHeight="1" spans="4:67" x14ac:dyDescent="0.25">
      <c r="D154" s="78" t="s">
        <v>190</v>
      </c>
      <c r="E154" s="78"/>
      <c r="F154" s="78"/>
      <c r="G154" s="78"/>
      <c r="H154" s="78"/>
      <c r="I154" s="78"/>
      <c r="J154" s="78"/>
      <c r="K154" s="78"/>
      <c r="L154" s="78"/>
      <c r="M154" s="78"/>
      <c r="N154" s="80" t="s">
        <v>191</v>
      </c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8" t="s">
        <v>192</v>
      </c>
      <c r="AK154" s="78"/>
      <c r="AL154" s="78"/>
      <c r="AM154" s="78"/>
      <c r="AN154" s="78"/>
      <c r="AO154" s="78"/>
      <c r="AP154" s="78"/>
      <c r="AQ154" s="78"/>
      <c r="AR154" s="78"/>
      <c r="AS154" s="78"/>
      <c r="AT154" s="79" t="s">
        <v>193</v>
      </c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</row>
    <row r="155" ht="18.95" customHeight="1" spans="4:67" x14ac:dyDescent="0.25"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</row>
    <row r="156" ht="18.95" customHeight="1" spans="4:67" x14ac:dyDescent="0.25">
      <c r="D156" s="78" t="s">
        <v>194</v>
      </c>
      <c r="E156" s="78"/>
      <c r="F156" s="78"/>
      <c r="G156" s="78"/>
      <c r="H156" s="78"/>
      <c r="I156" s="78"/>
      <c r="J156" s="78"/>
      <c r="K156" s="78"/>
      <c r="L156" s="78"/>
      <c r="M156" s="78"/>
      <c r="N156" s="79" t="s">
        <v>195</v>
      </c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8" t="s">
        <v>196</v>
      </c>
      <c r="AK156" s="78"/>
      <c r="AL156" s="78"/>
      <c r="AM156" s="78"/>
      <c r="AN156" s="78"/>
      <c r="AO156" s="78"/>
      <c r="AP156" s="78"/>
      <c r="AQ156" s="78"/>
      <c r="AR156" s="78"/>
      <c r="AS156" s="78"/>
      <c r="AT156" s="81" t="s">
        <v>197</v>
      </c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</row>
    <row r="157" ht="18.95" customHeight="1" spans="4:67" x14ac:dyDescent="0.25"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9"/>
      <c r="AU157" s="79"/>
      <c r="AV157" s="79"/>
      <c r="AW157" s="79"/>
      <c r="AX157" s="79"/>
      <c r="AY157" s="79"/>
      <c r="AZ157" s="79"/>
      <c r="BA157" s="79"/>
      <c r="BB157" s="79"/>
      <c r="BC157" s="79"/>
      <c r="BD157" s="79"/>
      <c r="BE157" s="79"/>
      <c r="BF157" s="79"/>
      <c r="BG157" s="79"/>
      <c r="BH157" s="79"/>
      <c r="BI157" s="79"/>
      <c r="BJ157" s="79"/>
      <c r="BK157" s="79"/>
      <c r="BL157" s="79"/>
      <c r="BM157" s="79"/>
      <c r="BN157" s="79"/>
      <c r="BO157" s="79"/>
    </row>
    <row r="158" ht="21.95" customHeight="1" spans="4:67" x14ac:dyDescent="0.25">
      <c r="D158" s="82" t="s">
        <v>198</v>
      </c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69"/>
      <c r="BN158" s="69"/>
      <c r="BO158" s="69"/>
    </row>
    <row r="159" ht="21.95" customHeight="1" spans="4:67" x14ac:dyDescent="0.25"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69"/>
      <c r="BN159" s="69"/>
      <c r="BO159" s="69"/>
    </row>
    <row r="160" ht="21.95" customHeight="1" spans="4:67" x14ac:dyDescent="0.25">
      <c r="D160" s="76" t="s">
        <v>199</v>
      </c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  <c r="BM160" s="69"/>
      <c r="BN160" s="69"/>
      <c r="BO160" s="57" t="s">
        <v>200</v>
      </c>
    </row>
    <row r="161" ht="18.95" customHeight="1" spans="4:67" x14ac:dyDescent="0.25">
      <c r="D161" s="77" t="s">
        <v>201</v>
      </c>
      <c r="E161" s="78"/>
      <c r="F161" s="78"/>
      <c r="G161" s="78"/>
      <c r="H161" s="78"/>
      <c r="I161" s="78"/>
      <c r="J161" s="78"/>
      <c r="K161" s="78"/>
      <c r="L161" s="78"/>
      <c r="M161" s="78"/>
      <c r="N161" s="80" t="s">
        <v>202</v>
      </c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8" t="s">
        <v>203</v>
      </c>
      <c r="AK161" s="78"/>
      <c r="AL161" s="78"/>
      <c r="AM161" s="78"/>
      <c r="AN161" s="78"/>
      <c r="AO161" s="78"/>
      <c r="AP161" s="78"/>
      <c r="AQ161" s="78"/>
      <c r="AR161" s="78"/>
      <c r="AS161" s="78"/>
      <c r="AT161" s="79" t="s">
        <v>204</v>
      </c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N161" s="79"/>
      <c r="BO161" s="79"/>
    </row>
    <row r="162" ht="18.95" customHeight="1" spans="4:67" x14ac:dyDescent="0.25"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/>
      <c r="BK162" s="79"/>
      <c r="BL162" s="79"/>
      <c r="BM162" s="79"/>
      <c r="BN162" s="79"/>
      <c r="BO162" s="79"/>
    </row>
    <row r="163" ht="6.95" customHeight="1" spans="4:67" x14ac:dyDescent="0.25">
      <c r="D163" s="83" t="s">
        <v>205</v>
      </c>
      <c r="E163" s="84"/>
      <c r="F163" s="84"/>
      <c r="G163" s="84"/>
      <c r="H163" s="84"/>
      <c r="I163" s="84"/>
      <c r="J163" s="84"/>
      <c r="K163" s="84"/>
      <c r="L163" s="84"/>
      <c r="M163" s="85"/>
      <c r="N163" s="86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86"/>
      <c r="BD163" s="86"/>
      <c r="BE163" s="86"/>
      <c r="BF163" s="86"/>
      <c r="BG163" s="86"/>
      <c r="BH163" s="86"/>
      <c r="BI163" s="86"/>
      <c r="BJ163" s="86"/>
      <c r="BK163" s="86"/>
      <c r="BL163" s="86"/>
      <c r="BM163" s="86"/>
      <c r="BN163" s="86"/>
      <c r="BO163" s="87"/>
    </row>
    <row r="164" ht="21.95" customHeight="1" spans="4:67" x14ac:dyDescent="0.25">
      <c r="D164" s="88"/>
      <c r="E164" s="89"/>
      <c r="F164" s="89"/>
      <c r="G164" s="89"/>
      <c r="H164" s="89"/>
      <c r="I164" s="89"/>
      <c r="J164" s="89"/>
      <c r="K164" s="89"/>
      <c r="L164" s="89"/>
      <c r="M164" s="90"/>
      <c r="N164" s="91"/>
      <c r="O164" s="92" t="s">
        <v>206</v>
      </c>
      <c r="P164" s="92"/>
      <c r="Q164" s="92"/>
      <c r="R164" s="92"/>
      <c r="S164" s="92"/>
      <c r="T164" s="92"/>
      <c r="U164" s="92"/>
      <c r="V164" s="92"/>
      <c r="W164" s="92"/>
      <c r="X164" s="92"/>
      <c r="Y164" s="92" t="s">
        <v>207</v>
      </c>
      <c r="Z164" s="92"/>
      <c r="AA164" s="92"/>
      <c r="AB164" s="92"/>
      <c r="AC164" s="92"/>
      <c r="AD164" s="92"/>
      <c r="AE164" s="92"/>
      <c r="AF164" s="92"/>
      <c r="AG164" s="92"/>
      <c r="AH164" s="92"/>
      <c r="AI164" s="92" t="s">
        <v>208</v>
      </c>
      <c r="AJ164" s="92"/>
      <c r="AK164" s="92"/>
      <c r="AL164" s="92"/>
      <c r="AM164" s="92"/>
      <c r="AN164" s="92"/>
      <c r="AO164" s="92"/>
      <c r="AP164" s="92"/>
      <c r="AQ164" s="92"/>
      <c r="AR164" s="92"/>
      <c r="AS164" s="92" t="s">
        <v>209</v>
      </c>
      <c r="AT164" s="92"/>
      <c r="AU164" s="92"/>
      <c r="AV164" s="92"/>
      <c r="AW164" s="92"/>
      <c r="AX164" s="92"/>
      <c r="AY164" s="92"/>
      <c r="AZ164" s="92"/>
      <c r="BA164" s="92"/>
      <c r="BB164" s="92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  <c r="BN164" s="91"/>
      <c r="BO164" s="93"/>
    </row>
    <row r="165" ht="21.95" customHeight="1" spans="4:67" x14ac:dyDescent="0.25">
      <c r="D165" s="88"/>
      <c r="E165" s="89"/>
      <c r="F165" s="89"/>
      <c r="G165" s="89"/>
      <c r="H165" s="89"/>
      <c r="I165" s="89"/>
      <c r="J165" s="89"/>
      <c r="K165" s="89"/>
      <c r="L165" s="89"/>
      <c r="M165" s="90"/>
      <c r="N165" s="91"/>
      <c r="O165" s="92" t="s">
        <v>210</v>
      </c>
      <c r="P165" s="92"/>
      <c r="Q165" s="92"/>
      <c r="R165" s="92"/>
      <c r="S165" s="92"/>
      <c r="T165" s="92"/>
      <c r="U165" s="92"/>
      <c r="V165" s="92"/>
      <c r="W165" s="92"/>
      <c r="X165" s="92"/>
      <c r="Y165" s="92" t="s">
        <v>211</v>
      </c>
      <c r="Z165" s="92"/>
      <c r="AA165" s="92"/>
      <c r="AB165" s="92"/>
      <c r="AC165" s="92"/>
      <c r="AD165" s="92"/>
      <c r="AE165" s="92"/>
      <c r="AF165" s="92"/>
      <c r="AG165" s="92"/>
      <c r="AH165" s="92"/>
      <c r="AI165" s="92" t="s">
        <v>212</v>
      </c>
      <c r="AJ165" s="92"/>
      <c r="AK165" s="92"/>
      <c r="AL165" s="92"/>
      <c r="AM165" s="92"/>
      <c r="AN165" s="92"/>
      <c r="AO165" s="92"/>
      <c r="AP165" s="92"/>
      <c r="AQ165" s="92"/>
      <c r="AR165" s="92"/>
      <c r="AS165" s="94">
        <f>400*0.7</f>
        <v>280</v>
      </c>
      <c r="AT165" s="94"/>
      <c r="AU165" s="94"/>
      <c r="AV165" s="94"/>
      <c r="AW165" s="94"/>
      <c r="AX165" s="94"/>
      <c r="AY165" s="94"/>
      <c r="AZ165" s="94"/>
      <c r="BA165" s="94"/>
      <c r="BB165" s="94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3"/>
    </row>
    <row r="166" ht="21.95" customHeight="1" spans="4:67" x14ac:dyDescent="0.25">
      <c r="D166" s="88"/>
      <c r="E166" s="89"/>
      <c r="F166" s="89"/>
      <c r="G166" s="89"/>
      <c r="H166" s="89"/>
      <c r="I166" s="89"/>
      <c r="J166" s="89"/>
      <c r="K166" s="89"/>
      <c r="L166" s="89"/>
      <c r="M166" s="90"/>
      <c r="N166" s="91"/>
      <c r="O166" s="92" t="s">
        <v>34</v>
      </c>
      <c r="P166" s="92"/>
      <c r="Q166" s="92"/>
      <c r="R166" s="92"/>
      <c r="S166" s="92"/>
      <c r="T166" s="92"/>
      <c r="U166" s="92"/>
      <c r="V166" s="92"/>
      <c r="W166" s="92"/>
      <c r="X166" s="92"/>
      <c r="Y166" s="92" t="s">
        <v>213</v>
      </c>
      <c r="Z166" s="92"/>
      <c r="AA166" s="92"/>
      <c r="AB166" s="92"/>
      <c r="AC166" s="92"/>
      <c r="AD166" s="92"/>
      <c r="AE166" s="92"/>
      <c r="AF166" s="92"/>
      <c r="AG166" s="92"/>
      <c r="AH166" s="92"/>
      <c r="AI166" s="92" t="s">
        <v>214</v>
      </c>
      <c r="AJ166" s="92"/>
      <c r="AK166" s="92"/>
      <c r="AL166" s="92"/>
      <c r="AM166" s="92"/>
      <c r="AN166" s="92"/>
      <c r="AO166" s="92"/>
      <c r="AP166" s="92"/>
      <c r="AQ166" s="92"/>
      <c r="AR166" s="92"/>
      <c r="AS166" s="94">
        <f>2000*0.7</f>
        <v>1400</v>
      </c>
      <c r="AT166" s="94"/>
      <c r="AU166" s="94"/>
      <c r="AV166" s="94"/>
      <c r="AW166" s="94"/>
      <c r="AX166" s="94"/>
      <c r="AY166" s="94"/>
      <c r="AZ166" s="94"/>
      <c r="BA166" s="94"/>
      <c r="BB166" s="94"/>
      <c r="BC166" s="91"/>
      <c r="BD166" s="91"/>
      <c r="BE166" s="91"/>
      <c r="BF166" s="91"/>
      <c r="BG166" s="91"/>
      <c r="BH166" s="91"/>
      <c r="BI166" s="91"/>
      <c r="BJ166" s="91"/>
      <c r="BK166" s="91"/>
      <c r="BL166" s="91"/>
      <c r="BM166" s="91"/>
      <c r="BN166" s="91"/>
      <c r="BO166" s="93"/>
    </row>
    <row r="167" ht="21.95" customHeight="1" spans="4:67" x14ac:dyDescent="0.25">
      <c r="D167" s="88"/>
      <c r="E167" s="89"/>
      <c r="F167" s="89"/>
      <c r="G167" s="89"/>
      <c r="H167" s="89"/>
      <c r="I167" s="89"/>
      <c r="J167" s="89"/>
      <c r="K167" s="89"/>
      <c r="L167" s="89"/>
      <c r="M167" s="90"/>
      <c r="N167" s="91"/>
      <c r="O167" s="92" t="s">
        <v>39</v>
      </c>
      <c r="P167" s="92"/>
      <c r="Q167" s="92"/>
      <c r="R167" s="92"/>
      <c r="S167" s="92"/>
      <c r="T167" s="92"/>
      <c r="U167" s="92"/>
      <c r="V167" s="92"/>
      <c r="W167" s="92"/>
      <c r="X167" s="92"/>
      <c r="Y167" s="92" t="s">
        <v>213</v>
      </c>
      <c r="Z167" s="92"/>
      <c r="AA167" s="92"/>
      <c r="AB167" s="92"/>
      <c r="AC167" s="92"/>
      <c r="AD167" s="92"/>
      <c r="AE167" s="92"/>
      <c r="AF167" s="92"/>
      <c r="AG167" s="92"/>
      <c r="AH167" s="92"/>
      <c r="AI167" s="92" t="s">
        <v>214</v>
      </c>
      <c r="AJ167" s="92"/>
      <c r="AK167" s="92"/>
      <c r="AL167" s="92"/>
      <c r="AM167" s="92"/>
      <c r="AN167" s="92"/>
      <c r="AO167" s="92"/>
      <c r="AP167" s="92"/>
      <c r="AQ167" s="92"/>
      <c r="AR167" s="92"/>
      <c r="AS167" s="94">
        <f>1000*0.7</f>
        <v>700</v>
      </c>
      <c r="AT167" s="94"/>
      <c r="AU167" s="94"/>
      <c r="AV167" s="94"/>
      <c r="AW167" s="94"/>
      <c r="AX167" s="94"/>
      <c r="AY167" s="94"/>
      <c r="AZ167" s="94"/>
      <c r="BA167" s="94"/>
      <c r="BB167" s="94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  <c r="BN167" s="91"/>
      <c r="BO167" s="93"/>
    </row>
    <row r="168" ht="21.95" customHeight="1" spans="4:67" x14ac:dyDescent="0.25">
      <c r="D168" s="88"/>
      <c r="E168" s="89"/>
      <c r="F168" s="89"/>
      <c r="G168" s="89"/>
      <c r="H168" s="89"/>
      <c r="I168" s="89"/>
      <c r="J168" s="89"/>
      <c r="K168" s="89"/>
      <c r="L168" s="89"/>
      <c r="M168" s="90"/>
      <c r="N168" s="91"/>
      <c r="O168" s="92" t="s">
        <v>215</v>
      </c>
      <c r="P168" s="92"/>
      <c r="Q168" s="92"/>
      <c r="R168" s="92"/>
      <c r="S168" s="92"/>
      <c r="T168" s="92"/>
      <c r="U168" s="92"/>
      <c r="V168" s="92"/>
      <c r="W168" s="92"/>
      <c r="X168" s="92"/>
      <c r="Y168" s="92" t="s">
        <v>213</v>
      </c>
      <c r="Z168" s="92"/>
      <c r="AA168" s="92"/>
      <c r="AB168" s="92"/>
      <c r="AC168" s="92"/>
      <c r="AD168" s="92"/>
      <c r="AE168" s="92"/>
      <c r="AF168" s="92"/>
      <c r="AG168" s="92"/>
      <c r="AH168" s="92"/>
      <c r="AI168" s="92" t="s">
        <v>214</v>
      </c>
      <c r="AJ168" s="92"/>
      <c r="AK168" s="92"/>
      <c r="AL168" s="92"/>
      <c r="AM168" s="92"/>
      <c r="AN168" s="92"/>
      <c r="AO168" s="92"/>
      <c r="AP168" s="92"/>
      <c r="AQ168" s="92"/>
      <c r="AR168" s="92"/>
      <c r="AS168" s="94">
        <f>500*0.7</f>
        <v>350</v>
      </c>
      <c r="AT168" s="94"/>
      <c r="AU168" s="94"/>
      <c r="AV168" s="94"/>
      <c r="AW168" s="94"/>
      <c r="AX168" s="94"/>
      <c r="AY168" s="94"/>
      <c r="AZ168" s="94"/>
      <c r="BA168" s="94"/>
      <c r="BB168" s="94"/>
      <c r="BC168" s="91"/>
      <c r="BD168" s="91"/>
      <c r="BE168" s="91"/>
      <c r="BF168" s="91"/>
      <c r="BG168" s="91"/>
      <c r="BH168" s="91"/>
      <c r="BI168" s="91"/>
      <c r="BJ168" s="91"/>
      <c r="BK168" s="91"/>
      <c r="BL168" s="91"/>
      <c r="BM168" s="91"/>
      <c r="BN168" s="91"/>
      <c r="BO168" s="93"/>
    </row>
    <row r="169" ht="21.95" customHeight="1" spans="4:67" x14ac:dyDescent="0.25">
      <c r="D169" s="88"/>
      <c r="E169" s="89"/>
      <c r="F169" s="89"/>
      <c r="G169" s="89"/>
      <c r="H169" s="89"/>
      <c r="I169" s="89"/>
      <c r="J169" s="89"/>
      <c r="K169" s="89"/>
      <c r="L169" s="89"/>
      <c r="M169" s="90"/>
      <c r="N169" s="91"/>
      <c r="O169" s="92" t="s">
        <v>49</v>
      </c>
      <c r="P169" s="92"/>
      <c r="Q169" s="92"/>
      <c r="R169" s="92"/>
      <c r="S169" s="92"/>
      <c r="T169" s="92"/>
      <c r="U169" s="92"/>
      <c r="V169" s="92"/>
      <c r="W169" s="92"/>
      <c r="X169" s="92"/>
      <c r="Y169" s="92" t="s">
        <v>213</v>
      </c>
      <c r="Z169" s="92"/>
      <c r="AA169" s="92"/>
      <c r="AB169" s="92"/>
      <c r="AC169" s="92"/>
      <c r="AD169" s="92"/>
      <c r="AE169" s="92"/>
      <c r="AF169" s="92"/>
      <c r="AG169" s="92"/>
      <c r="AH169" s="92"/>
      <c r="AI169" s="92" t="s">
        <v>214</v>
      </c>
      <c r="AJ169" s="92"/>
      <c r="AK169" s="92"/>
      <c r="AL169" s="92"/>
      <c r="AM169" s="92"/>
      <c r="AN169" s="92"/>
      <c r="AO169" s="92"/>
      <c r="AP169" s="92"/>
      <c r="AQ169" s="92"/>
      <c r="AR169" s="92"/>
      <c r="AS169" s="94">
        <f>300*0.7</f>
        <v>210</v>
      </c>
      <c r="AT169" s="94"/>
      <c r="AU169" s="94"/>
      <c r="AV169" s="94"/>
      <c r="AW169" s="94"/>
      <c r="AX169" s="94"/>
      <c r="AY169" s="94"/>
      <c r="AZ169" s="94"/>
      <c r="BA169" s="94"/>
      <c r="BB169" s="94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  <c r="BN169" s="91"/>
      <c r="BO169" s="93"/>
    </row>
    <row r="170" ht="6.95" customHeight="1" spans="4:67" x14ac:dyDescent="0.25">
      <c r="D170" s="95"/>
      <c r="E170" s="96"/>
      <c r="F170" s="96"/>
      <c r="G170" s="96"/>
      <c r="H170" s="96"/>
      <c r="I170" s="96"/>
      <c r="J170" s="96"/>
      <c r="K170" s="96"/>
      <c r="L170" s="96"/>
      <c r="M170" s="97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9"/>
      <c r="AK170" s="99"/>
      <c r="AL170" s="99"/>
      <c r="AM170" s="99"/>
      <c r="AN170" s="99"/>
      <c r="AO170" s="99"/>
      <c r="AP170" s="99"/>
      <c r="AQ170" s="99"/>
      <c r="AR170" s="99"/>
      <c r="AS170" s="99"/>
      <c r="AT170" s="98"/>
      <c r="AU170" s="98"/>
      <c r="AV170" s="98"/>
      <c r="AW170" s="98"/>
      <c r="AX170" s="98"/>
      <c r="AY170" s="98"/>
      <c r="AZ170" s="98"/>
      <c r="BA170" s="98"/>
      <c r="BB170" s="98"/>
      <c r="BC170" s="98"/>
      <c r="BD170" s="98"/>
      <c r="BE170" s="98"/>
      <c r="BF170" s="98"/>
      <c r="BG170" s="98"/>
      <c r="BH170" s="98"/>
      <c r="BI170" s="98"/>
      <c r="BJ170" s="98"/>
      <c r="BK170" s="98"/>
      <c r="BL170" s="98"/>
      <c r="BM170" s="98"/>
      <c r="BN170" s="98"/>
      <c r="BO170" s="100"/>
    </row>
    <row r="171" ht="18.95" customHeight="1" spans="4:67" x14ac:dyDescent="0.25">
      <c r="D171" s="77" t="s">
        <v>216</v>
      </c>
      <c r="E171" s="78"/>
      <c r="F171" s="78"/>
      <c r="G171" s="78"/>
      <c r="H171" s="78"/>
      <c r="I171" s="78"/>
      <c r="J171" s="78"/>
      <c r="K171" s="78"/>
      <c r="L171" s="78"/>
      <c r="M171" s="78"/>
      <c r="N171" s="80" t="s">
        <v>217</v>
      </c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7" t="s">
        <v>218</v>
      </c>
      <c r="AK171" s="78"/>
      <c r="AL171" s="78"/>
      <c r="AM171" s="78"/>
      <c r="AN171" s="78"/>
      <c r="AO171" s="78"/>
      <c r="AP171" s="78"/>
      <c r="AQ171" s="78"/>
      <c r="AR171" s="78"/>
      <c r="AS171" s="78"/>
      <c r="AT171" s="101">
        <f>SUM(AS165:BB169)</f>
        <v>2940</v>
      </c>
      <c r="AU171" s="101"/>
      <c r="AV171" s="101"/>
      <c r="AW171" s="101"/>
      <c r="AX171" s="101"/>
      <c r="AY171" s="101"/>
      <c r="AZ171" s="101"/>
      <c r="BA171" s="101"/>
      <c r="BB171" s="101"/>
      <c r="BC171" s="101"/>
      <c r="BD171" s="101"/>
      <c r="BE171" s="101"/>
      <c r="BF171" s="101"/>
      <c r="BG171" s="101"/>
      <c r="BH171" s="101"/>
      <c r="BI171" s="101"/>
      <c r="BJ171" s="101"/>
      <c r="BK171" s="101"/>
      <c r="BL171" s="101"/>
      <c r="BM171" s="101"/>
      <c r="BN171" s="101"/>
      <c r="BO171" s="101"/>
    </row>
    <row r="172" ht="18.95" customHeight="1" spans="4:67" x14ac:dyDescent="0.25"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101"/>
      <c r="AU172" s="101"/>
      <c r="AV172" s="101"/>
      <c r="AW172" s="101"/>
      <c r="AX172" s="101"/>
      <c r="AY172" s="101"/>
      <c r="AZ172" s="101"/>
      <c r="BA172" s="101"/>
      <c r="BB172" s="101"/>
      <c r="BC172" s="101"/>
      <c r="BD172" s="101"/>
      <c r="BE172" s="101"/>
      <c r="BF172" s="101"/>
      <c r="BG172" s="101"/>
      <c r="BH172" s="101"/>
      <c r="BI172" s="101"/>
      <c r="BJ172" s="101"/>
      <c r="BK172" s="101"/>
      <c r="BL172" s="101"/>
      <c r="BM172" s="101"/>
      <c r="BN172" s="101"/>
      <c r="BO172" s="101"/>
    </row>
    <row r="173" ht="18.95" customHeight="1" spans="4:67" x14ac:dyDescent="0.25">
      <c r="D173" s="77" t="s">
        <v>219</v>
      </c>
      <c r="E173" s="78"/>
      <c r="F173" s="78"/>
      <c r="G173" s="78"/>
      <c r="H173" s="78"/>
      <c r="I173" s="78"/>
      <c r="J173" s="78"/>
      <c r="K173" s="78"/>
      <c r="L173" s="78"/>
      <c r="M173" s="78"/>
      <c r="N173" s="79" t="s">
        <v>220</v>
      </c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8" t="s">
        <v>221</v>
      </c>
      <c r="AK173" s="78"/>
      <c r="AL173" s="78"/>
      <c r="AM173" s="78"/>
      <c r="AN173" s="78"/>
      <c r="AO173" s="78"/>
      <c r="AP173" s="78"/>
      <c r="AQ173" s="78"/>
      <c r="AR173" s="78"/>
      <c r="AS173" s="78"/>
      <c r="AT173" s="79" t="s">
        <v>222</v>
      </c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9"/>
      <c r="BG173" s="79"/>
      <c r="BH173" s="79"/>
      <c r="BI173" s="79"/>
      <c r="BJ173" s="79"/>
      <c r="BK173" s="79"/>
      <c r="BL173" s="79"/>
      <c r="BM173" s="79"/>
      <c r="BN173" s="79"/>
      <c r="BO173" s="79"/>
    </row>
    <row r="174" ht="18.95" customHeight="1" spans="4:67" x14ac:dyDescent="0.25"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  <c r="BI174" s="79"/>
      <c r="BJ174" s="79"/>
      <c r="BK174" s="79"/>
      <c r="BL174" s="79"/>
      <c r="BM174" s="79"/>
      <c r="BN174" s="79"/>
      <c r="BO174" s="79"/>
    </row>
    <row r="175" ht="18.95" customHeight="1" spans="4:67" x14ac:dyDescent="0.25">
      <c r="D175" s="77" t="s">
        <v>223</v>
      </c>
      <c r="E175" s="78"/>
      <c r="F175" s="78"/>
      <c r="G175" s="78"/>
      <c r="H175" s="78"/>
      <c r="I175" s="78"/>
      <c r="J175" s="78"/>
      <c r="K175" s="78"/>
      <c r="L175" s="78"/>
      <c r="M175" s="78"/>
      <c r="N175" s="102" t="s">
        <v>224</v>
      </c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8" t="s">
        <v>225</v>
      </c>
      <c r="AK175" s="78"/>
      <c r="AL175" s="78"/>
      <c r="AM175" s="78"/>
      <c r="AN175" s="78"/>
      <c r="AO175" s="78"/>
      <c r="AP175" s="78"/>
      <c r="AQ175" s="78"/>
      <c r="AR175" s="78"/>
      <c r="AS175" s="78"/>
      <c r="AT175" s="80" t="s">
        <v>226</v>
      </c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79"/>
      <c r="BH175" s="79"/>
      <c r="BI175" s="79"/>
      <c r="BJ175" s="79"/>
      <c r="BK175" s="79"/>
      <c r="BL175" s="79"/>
      <c r="BM175" s="79"/>
      <c r="BN175" s="79"/>
      <c r="BO175" s="79"/>
    </row>
    <row r="176" ht="18.95" customHeight="1" spans="4:67" x14ac:dyDescent="0.25"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9"/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  <c r="BI176" s="79"/>
      <c r="BJ176" s="79"/>
      <c r="BK176" s="79"/>
      <c r="BL176" s="79"/>
      <c r="BM176" s="79"/>
      <c r="BN176" s="79"/>
      <c r="BO176" s="79"/>
    </row>
    <row r="177" ht="21.95" customHeight="1" spans="4:67" x14ac:dyDescent="0.25"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  <c r="BM177" s="69"/>
      <c r="BN177" s="69"/>
      <c r="BO177" s="69"/>
    </row>
    <row r="178" ht="21.95" customHeight="1" spans="4:67" x14ac:dyDescent="0.25">
      <c r="D178" s="82" t="s">
        <v>227</v>
      </c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69"/>
      <c r="BN178" s="69"/>
      <c r="BO178" s="69"/>
    </row>
    <row r="179" ht="9.75" customHeight="1" spans="4:67" x14ac:dyDescent="0.25"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69"/>
      <c r="BN179" s="69"/>
      <c r="BO179" s="69"/>
    </row>
    <row r="180" ht="21.95" customHeight="1" spans="4:67" x14ac:dyDescent="0.25">
      <c r="D180" s="82" t="s">
        <v>228</v>
      </c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  <c r="BM180" s="69"/>
      <c r="BN180" s="69"/>
      <c r="BO180" s="69"/>
    </row>
    <row r="181" ht="9.75" customHeight="1" spans="4:67" x14ac:dyDescent="0.25"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  <c r="BM181" s="69"/>
      <c r="BN181" s="69"/>
      <c r="BO181" s="69"/>
    </row>
    <row r="182" ht="21.95" customHeight="1" spans="4:67" x14ac:dyDescent="0.25">
      <c r="D182" s="82" t="s">
        <v>229</v>
      </c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  <c r="BM182" s="69"/>
      <c r="BN182" s="69"/>
      <c r="BO182" s="69"/>
    </row>
    <row r="183" ht="9.75" customHeight="1" spans="4:67" x14ac:dyDescent="0.25"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  <c r="BM183" s="69"/>
      <c r="BN183" s="69"/>
      <c r="BO183" s="69"/>
    </row>
    <row r="184" ht="21.95" customHeight="1" spans="4:67" x14ac:dyDescent="0.25">
      <c r="D184" s="82" t="s">
        <v>230</v>
      </c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  <c r="BM184" s="69"/>
      <c r="BN184" s="69"/>
      <c r="BO184" s="69"/>
    </row>
    <row r="185" ht="21.95" customHeight="1" spans="4:67" x14ac:dyDescent="0.25"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69"/>
      <c r="BN185" s="69"/>
      <c r="BO185" s="69"/>
    </row>
    <row r="186" ht="21.95" customHeight="1" spans="4:67" x14ac:dyDescent="0.25">
      <c r="D186" s="103" t="s">
        <v>231</v>
      </c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3"/>
      <c r="AM186" s="103"/>
      <c r="AN186" s="103"/>
      <c r="AO186" s="103"/>
      <c r="AP186" s="103"/>
      <c r="AQ186" s="103"/>
      <c r="AR186" s="103"/>
      <c r="AS186" s="103"/>
      <c r="AT186" s="103"/>
      <c r="AU186" s="103"/>
      <c r="AV186" s="103"/>
      <c r="AW186" s="103"/>
      <c r="AX186" s="103"/>
      <c r="AY186" s="103"/>
      <c r="AZ186" s="103"/>
      <c r="BA186" s="103"/>
      <c r="BB186" s="103"/>
      <c r="BC186" s="103"/>
      <c r="BD186" s="103"/>
      <c r="BE186" s="103"/>
      <c r="BF186" s="103"/>
      <c r="BG186" s="103"/>
      <c r="BH186" s="103"/>
      <c r="BI186" s="103"/>
      <c r="BJ186" s="103"/>
      <c r="BK186" s="103"/>
      <c r="BL186" s="103"/>
      <c r="BM186" s="103"/>
      <c r="BN186" s="103"/>
      <c r="BO186" s="103"/>
    </row>
    <row r="187" ht="21.95" customHeight="1" spans="4:67" x14ac:dyDescent="0.25"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69"/>
      <c r="BN187" s="69"/>
      <c r="BO187" s="57" t="s">
        <v>232</v>
      </c>
    </row>
    <row r="188" ht="21" customHeight="1" spans="4:67" x14ac:dyDescent="0.25"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104" t="s">
        <v>186</v>
      </c>
      <c r="AK188" s="105"/>
      <c r="AL188" s="105"/>
      <c r="AM188" s="105"/>
      <c r="AN188" s="105"/>
      <c r="AO188" s="105"/>
      <c r="AP188" s="105"/>
      <c r="AQ188" s="105"/>
      <c r="AR188" s="105"/>
      <c r="AS188" s="106"/>
      <c r="AT188" s="107" t="s">
        <v>187</v>
      </c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8"/>
      <c r="BJ188" s="108"/>
      <c r="BK188" s="108"/>
      <c r="BL188" s="108"/>
      <c r="BM188" s="108"/>
      <c r="BN188" s="108"/>
      <c r="BO188" s="109"/>
    </row>
    <row r="189" ht="21" customHeight="1" spans="4:67" x14ac:dyDescent="0.25"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110"/>
      <c r="AK189" s="111"/>
      <c r="AL189" s="111"/>
      <c r="AM189" s="111"/>
      <c r="AN189" s="111"/>
      <c r="AO189" s="111"/>
      <c r="AP189" s="111"/>
      <c r="AQ189" s="111"/>
      <c r="AR189" s="111"/>
      <c r="AS189" s="112"/>
      <c r="AT189" s="113"/>
      <c r="AU189" s="114"/>
      <c r="AV189" s="114"/>
      <c r="AW189" s="114"/>
      <c r="AX189" s="114"/>
      <c r="AY189" s="114"/>
      <c r="AZ189" s="114"/>
      <c r="BA189" s="114"/>
      <c r="BB189" s="114"/>
      <c r="BC189" s="114"/>
      <c r="BD189" s="114"/>
      <c r="BE189" s="114"/>
      <c r="BF189" s="114"/>
      <c r="BG189" s="114"/>
      <c r="BH189" s="114"/>
      <c r="BI189" s="114"/>
      <c r="BJ189" s="114"/>
      <c r="BK189" s="114"/>
      <c r="BL189" s="114"/>
      <c r="BM189" s="114"/>
      <c r="BN189" s="114"/>
      <c r="BO189" s="115"/>
    </row>
    <row r="190" ht="21" customHeight="1" spans="4:67" x14ac:dyDescent="0.25"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104" t="s">
        <v>233</v>
      </c>
      <c r="AK190" s="105"/>
      <c r="AL190" s="105"/>
      <c r="AM190" s="105"/>
      <c r="AN190" s="105"/>
      <c r="AO190" s="105"/>
      <c r="AP190" s="105"/>
      <c r="AQ190" s="105"/>
      <c r="AR190" s="105"/>
      <c r="AS190" s="106"/>
      <c r="AT190" s="116" t="s">
        <v>234</v>
      </c>
      <c r="AU190" s="117"/>
      <c r="AV190" s="117"/>
      <c r="AW190" s="117"/>
      <c r="AX190" s="117"/>
      <c r="AY190" s="117"/>
      <c r="AZ190" s="117"/>
      <c r="BA190" s="117"/>
      <c r="BB190" s="117"/>
      <c r="BC190" s="117"/>
      <c r="BD190" s="117"/>
      <c r="BE190" s="117"/>
      <c r="BF190" s="117"/>
      <c r="BG190" s="117"/>
      <c r="BH190" s="117"/>
      <c r="BI190" s="117"/>
      <c r="BJ190" s="117"/>
      <c r="BK190" s="117"/>
      <c r="BL190" s="117"/>
      <c r="BM190" s="117"/>
      <c r="BN190" s="117"/>
      <c r="BO190" s="118"/>
    </row>
    <row r="191" ht="21" customHeight="1" spans="4:67" x14ac:dyDescent="0.25"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110"/>
      <c r="AK191" s="111"/>
      <c r="AL191" s="111"/>
      <c r="AM191" s="111"/>
      <c r="AN191" s="111"/>
      <c r="AO191" s="111"/>
      <c r="AP191" s="111"/>
      <c r="AQ191" s="111"/>
      <c r="AR191" s="111"/>
      <c r="AS191" s="112"/>
      <c r="AT191" s="119"/>
      <c r="AU191" s="120"/>
      <c r="AV191" s="120"/>
      <c r="AW191" s="120"/>
      <c r="AX191" s="120"/>
      <c r="AY191" s="120"/>
      <c r="AZ191" s="120"/>
      <c r="BA191" s="120"/>
      <c r="BB191" s="120"/>
      <c r="BC191" s="120"/>
      <c r="BD191" s="120"/>
      <c r="BE191" s="120"/>
      <c r="BF191" s="120"/>
      <c r="BG191" s="120"/>
      <c r="BH191" s="120"/>
      <c r="BI191" s="120"/>
      <c r="BJ191" s="120"/>
      <c r="BK191" s="120"/>
      <c r="BL191" s="120"/>
      <c r="BM191" s="120"/>
      <c r="BN191" s="120"/>
      <c r="BO191" s="121"/>
    </row>
    <row r="192" ht="21.95" customHeight="1" spans="3:66" x14ac:dyDescent="0.25"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122"/>
      <c r="AQ192" s="122"/>
      <c r="AR192" s="122"/>
      <c r="AS192" s="122"/>
      <c r="AT192" s="122"/>
      <c r="AU192" s="122"/>
      <c r="AV192" s="122"/>
      <c r="AW192" s="122"/>
      <c r="AX192" s="122"/>
      <c r="AY192" s="122"/>
      <c r="AZ192" s="122"/>
      <c r="BA192" s="122"/>
      <c r="BB192" s="122"/>
      <c r="BC192" s="122"/>
      <c r="BD192" s="122"/>
      <c r="BE192" s="122"/>
      <c r="BF192" s="122"/>
      <c r="BG192" s="122"/>
      <c r="BH192" s="122"/>
      <c r="BI192" s="122"/>
      <c r="BJ192" s="122"/>
      <c r="BK192" s="122"/>
      <c r="BL192" s="122"/>
      <c r="BM192" s="122"/>
      <c r="BN192" s="122"/>
    </row>
  </sheetData>
  <mergeCells count="303">
    <mergeCell ref="C2:BO2"/>
    <mergeCell ref="D36:O36"/>
    <mergeCell ref="P36:Y36"/>
    <mergeCell ref="Z36:AI36"/>
    <mergeCell ref="AJ36:AS36"/>
    <mergeCell ref="AT36:BC36"/>
    <mergeCell ref="BD36:BO36"/>
    <mergeCell ref="D37:O37"/>
    <mergeCell ref="P37:Y37"/>
    <mergeCell ref="Z37:AI37"/>
    <mergeCell ref="AJ37:AS37"/>
    <mergeCell ref="AT37:BC37"/>
    <mergeCell ref="CB37:CK37"/>
    <mergeCell ref="CL37:CU37"/>
    <mergeCell ref="CV37:DE37"/>
    <mergeCell ref="DF37:DO37"/>
    <mergeCell ref="D38:O38"/>
    <mergeCell ref="P38:Y38"/>
    <mergeCell ref="Z38:AI38"/>
    <mergeCell ref="AJ38:AS38"/>
    <mergeCell ref="AT38:BC38"/>
    <mergeCell ref="CB38:CK38"/>
    <mergeCell ref="CL38:CU38"/>
    <mergeCell ref="CV38:DE38"/>
    <mergeCell ref="DF38:DO38"/>
    <mergeCell ref="D39:O39"/>
    <mergeCell ref="P39:Y39"/>
    <mergeCell ref="Z39:AI39"/>
    <mergeCell ref="AJ39:AS39"/>
    <mergeCell ref="AT39:BC39"/>
    <mergeCell ref="D40:O40"/>
    <mergeCell ref="P40:Y40"/>
    <mergeCell ref="Z40:AI40"/>
    <mergeCell ref="AJ40:AS40"/>
    <mergeCell ref="AT40:BC40"/>
    <mergeCell ref="D41:O41"/>
    <mergeCell ref="P41:Y41"/>
    <mergeCell ref="Z41:AI41"/>
    <mergeCell ref="AJ41:AS41"/>
    <mergeCell ref="AT41:BC41"/>
    <mergeCell ref="D42:O42"/>
    <mergeCell ref="P42:Y42"/>
    <mergeCell ref="Z42:AI42"/>
    <mergeCell ref="AJ42:AS42"/>
    <mergeCell ref="AT42:BC42"/>
    <mergeCell ref="D43:O43"/>
    <mergeCell ref="P43:Y43"/>
    <mergeCell ref="Z43:AI43"/>
    <mergeCell ref="AJ43:AS43"/>
    <mergeCell ref="AT43:BC43"/>
    <mergeCell ref="D44:O44"/>
    <mergeCell ref="P44:Y44"/>
    <mergeCell ref="Z44:AI44"/>
    <mergeCell ref="AJ44:AS44"/>
    <mergeCell ref="AT44:BC44"/>
    <mergeCell ref="D45:O45"/>
    <mergeCell ref="P45:Y45"/>
    <mergeCell ref="Z45:BC45"/>
    <mergeCell ref="D46:O46"/>
    <mergeCell ref="P46:Y46"/>
    <mergeCell ref="Z46:AI46"/>
    <mergeCell ref="AJ46:AS46"/>
    <mergeCell ref="AT46:BC46"/>
    <mergeCell ref="D47:O47"/>
    <mergeCell ref="P47:Y47"/>
    <mergeCell ref="Z47:AI47"/>
    <mergeCell ref="AJ47:AS47"/>
    <mergeCell ref="AT47:BC47"/>
    <mergeCell ref="D55:O55"/>
    <mergeCell ref="P55:Y55"/>
    <mergeCell ref="Z55:AI55"/>
    <mergeCell ref="AJ55:AS55"/>
    <mergeCell ref="AT55:BC55"/>
    <mergeCell ref="BD55:BO55"/>
    <mergeCell ref="D56:O56"/>
    <mergeCell ref="P56:Y56"/>
    <mergeCell ref="Z56:AI56"/>
    <mergeCell ref="AJ56:AS56"/>
    <mergeCell ref="AT56:BC56"/>
    <mergeCell ref="D57:O57"/>
    <mergeCell ref="P57:Y57"/>
    <mergeCell ref="Z57:AI57"/>
    <mergeCell ref="AJ57:AS57"/>
    <mergeCell ref="AT57:BC57"/>
    <mergeCell ref="D64:O64"/>
    <mergeCell ref="P64:AS64"/>
    <mergeCell ref="AT64:BC64"/>
    <mergeCell ref="BD64:BO64"/>
    <mergeCell ref="D65:O65"/>
    <mergeCell ref="P65:AS65"/>
    <mergeCell ref="AT65:BC65"/>
    <mergeCell ref="BD65:BO65"/>
    <mergeCell ref="BX65:CG65"/>
    <mergeCell ref="CH65:CQ65"/>
    <mergeCell ref="D66:O66"/>
    <mergeCell ref="P66:AS66"/>
    <mergeCell ref="AT66:BC66"/>
    <mergeCell ref="BD66:BO66"/>
    <mergeCell ref="BX66:CG66"/>
    <mergeCell ref="D67:I69"/>
    <mergeCell ref="J67:O67"/>
    <mergeCell ref="P67:AS67"/>
    <mergeCell ref="AT67:BC67"/>
    <mergeCell ref="BD67:BO67"/>
    <mergeCell ref="BX67:CG67"/>
    <mergeCell ref="J68:O68"/>
    <mergeCell ref="P68:AS68"/>
    <mergeCell ref="AT68:BC68"/>
    <mergeCell ref="BD68:BO68"/>
    <mergeCell ref="BX68:CG68"/>
    <mergeCell ref="J69:O69"/>
    <mergeCell ref="P69:AS69"/>
    <mergeCell ref="AT69:BC69"/>
    <mergeCell ref="BD69:BO69"/>
    <mergeCell ref="BX69:CG69"/>
    <mergeCell ref="D75:O75"/>
    <mergeCell ref="P75:BC75"/>
    <mergeCell ref="BD75:BO75"/>
    <mergeCell ref="D76:O76"/>
    <mergeCell ref="D77:O78"/>
    <mergeCell ref="D79:O83"/>
    <mergeCell ref="S81:AD81"/>
    <mergeCell ref="AE81:AP81"/>
    <mergeCell ref="AQ81:BB81"/>
    <mergeCell ref="S82:AD82"/>
    <mergeCell ref="AE82:AP82"/>
    <mergeCell ref="AQ82:BB82"/>
    <mergeCell ref="CH97:CM97"/>
    <mergeCell ref="CN97:CS97"/>
    <mergeCell ref="CT97:CY97"/>
    <mergeCell ref="CH98:CM98"/>
    <mergeCell ref="CN98:CS98"/>
    <mergeCell ref="CT98:CY98"/>
    <mergeCell ref="CH99:CM99"/>
    <mergeCell ref="CN99:CS99"/>
    <mergeCell ref="CT99:CY99"/>
    <mergeCell ref="D105:O105"/>
    <mergeCell ref="P105:Y105"/>
    <mergeCell ref="Z105:AI105"/>
    <mergeCell ref="AJ105:AS105"/>
    <mergeCell ref="AT105:BC105"/>
    <mergeCell ref="BD105:BO105"/>
    <mergeCell ref="D106:O106"/>
    <mergeCell ref="P106:Y106"/>
    <mergeCell ref="Z106:AI106"/>
    <mergeCell ref="AJ106:AS106"/>
    <mergeCell ref="AT106:BC106"/>
    <mergeCell ref="BD106:BO106"/>
    <mergeCell ref="D107:O107"/>
    <mergeCell ref="P107:AI107"/>
    <mergeCell ref="AJ107:BC107"/>
    <mergeCell ref="BD107:BO107"/>
    <mergeCell ref="D108:O108"/>
    <mergeCell ref="P108:AI108"/>
    <mergeCell ref="AJ108:BC108"/>
    <mergeCell ref="BD108:BO108"/>
    <mergeCell ref="D109:O109"/>
    <mergeCell ref="P109:AI109"/>
    <mergeCell ref="AJ109:BC109"/>
    <mergeCell ref="BD109:BO109"/>
    <mergeCell ref="D110:O110"/>
    <mergeCell ref="P110:BC110"/>
    <mergeCell ref="BD110:BO110"/>
    <mergeCell ref="D111:O111"/>
    <mergeCell ref="P111:AI111"/>
    <mergeCell ref="AJ111:BC111"/>
    <mergeCell ref="BD111:BO111"/>
    <mergeCell ref="D112:O112"/>
    <mergeCell ref="P112:BC112"/>
    <mergeCell ref="BD112:BO112"/>
    <mergeCell ref="D113:O113"/>
    <mergeCell ref="P113:AI113"/>
    <mergeCell ref="AJ113:BC113"/>
    <mergeCell ref="BD113:BO113"/>
    <mergeCell ref="D114:O114"/>
    <mergeCell ref="P114:BC114"/>
    <mergeCell ref="BD114:BO114"/>
    <mergeCell ref="D115:O115"/>
    <mergeCell ref="P115:AI115"/>
    <mergeCell ref="AJ115:BC115"/>
    <mergeCell ref="BD115:BO115"/>
    <mergeCell ref="D116:O116"/>
    <mergeCell ref="P116:BC116"/>
    <mergeCell ref="BD116:BO116"/>
    <mergeCell ref="D117:O117"/>
    <mergeCell ref="P117:Y117"/>
    <mergeCell ref="Z117:AI117"/>
    <mergeCell ref="AJ117:BC117"/>
    <mergeCell ref="BD117:BO117"/>
    <mergeCell ref="D118:O118"/>
    <mergeCell ref="P118:Y118"/>
    <mergeCell ref="Z118:BC118"/>
    <mergeCell ref="BD118:BO118"/>
    <mergeCell ref="D119:O119"/>
    <mergeCell ref="P119:AI119"/>
    <mergeCell ref="AJ119:BC119"/>
    <mergeCell ref="BD119:BO119"/>
    <mergeCell ref="D120:O120"/>
    <mergeCell ref="P120:Y120"/>
    <mergeCell ref="Z120:BC120"/>
    <mergeCell ref="BD120:BO120"/>
    <mergeCell ref="D121:O121"/>
    <mergeCell ref="P121:BC121"/>
    <mergeCell ref="BD121:BO121"/>
    <mergeCell ref="D122:O122"/>
    <mergeCell ref="P122:BC122"/>
    <mergeCell ref="BD122:BO122"/>
    <mergeCell ref="D123:O123"/>
    <mergeCell ref="P123:BC123"/>
    <mergeCell ref="BD123:BO123"/>
    <mergeCell ref="D124:O124"/>
    <mergeCell ref="P124:BC124"/>
    <mergeCell ref="BD124:BO124"/>
    <mergeCell ref="D125:O125"/>
    <mergeCell ref="P125:AI125"/>
    <mergeCell ref="AJ125:AS125"/>
    <mergeCell ref="AT125:BC125"/>
    <mergeCell ref="BD125:BO125"/>
    <mergeCell ref="D126:O126"/>
    <mergeCell ref="P126:BC126"/>
    <mergeCell ref="BD126:BO126"/>
    <mergeCell ref="D127:O127"/>
    <mergeCell ref="P127:Y127"/>
    <mergeCell ref="Z127:AI127"/>
    <mergeCell ref="AJ127:AS127"/>
    <mergeCell ref="AT127:BC127"/>
    <mergeCell ref="BD127:BO127"/>
    <mergeCell ref="D128:O128"/>
    <mergeCell ref="P128:Y128"/>
    <mergeCell ref="Z128:AI128"/>
    <mergeCell ref="AJ128:AS128"/>
    <mergeCell ref="AT128:BC128"/>
    <mergeCell ref="BD128:BO128"/>
    <mergeCell ref="D129:O129"/>
    <mergeCell ref="P129:BC129"/>
    <mergeCell ref="D130:O130"/>
    <mergeCell ref="P130:BC130"/>
    <mergeCell ref="D131:O131"/>
    <mergeCell ref="P131:BC131"/>
    <mergeCell ref="D132:O132"/>
    <mergeCell ref="P132:BC132"/>
    <mergeCell ref="D133:O133"/>
    <mergeCell ref="P133:BC133"/>
    <mergeCell ref="D134:O137"/>
    <mergeCell ref="D148:BO149"/>
    <mergeCell ref="D152:M153"/>
    <mergeCell ref="N152:AI153"/>
    <mergeCell ref="AJ152:AS153"/>
    <mergeCell ref="AT152:BO153"/>
    <mergeCell ref="D154:M155"/>
    <mergeCell ref="N154:AI155"/>
    <mergeCell ref="AJ154:AS155"/>
    <mergeCell ref="AT154:BO155"/>
    <mergeCell ref="D156:M157"/>
    <mergeCell ref="N156:AI157"/>
    <mergeCell ref="AJ156:AS157"/>
    <mergeCell ref="AT156:BO157"/>
    <mergeCell ref="D161:M162"/>
    <mergeCell ref="N161:AI162"/>
    <mergeCell ref="AJ161:AS162"/>
    <mergeCell ref="AT161:BO162"/>
    <mergeCell ref="D163:M170"/>
    <mergeCell ref="O164:X164"/>
    <mergeCell ref="Y164:AH164"/>
    <mergeCell ref="AI164:AR164"/>
    <mergeCell ref="AS164:BB164"/>
    <mergeCell ref="O165:X165"/>
    <mergeCell ref="Y165:AH165"/>
    <mergeCell ref="AI165:AR165"/>
    <mergeCell ref="AS165:BB165"/>
    <mergeCell ref="O166:X166"/>
    <mergeCell ref="Y166:AH166"/>
    <mergeCell ref="AI166:AR166"/>
    <mergeCell ref="AS166:BB166"/>
    <mergeCell ref="O167:X167"/>
    <mergeCell ref="Y167:AH167"/>
    <mergeCell ref="AI167:AR167"/>
    <mergeCell ref="AS167:BB167"/>
    <mergeCell ref="O168:X168"/>
    <mergeCell ref="Y168:AH168"/>
    <mergeCell ref="AI168:AR168"/>
    <mergeCell ref="AS168:BB168"/>
    <mergeCell ref="O169:X169"/>
    <mergeCell ref="Y169:AH169"/>
    <mergeCell ref="AI169:AR169"/>
    <mergeCell ref="AS169:BB169"/>
    <mergeCell ref="D171:M172"/>
    <mergeCell ref="N171:AI172"/>
    <mergeCell ref="AJ171:AS172"/>
    <mergeCell ref="AT171:BO172"/>
    <mergeCell ref="D173:M174"/>
    <mergeCell ref="N173:AI174"/>
    <mergeCell ref="AJ173:AS174"/>
    <mergeCell ref="AT173:BO174"/>
    <mergeCell ref="D175:M176"/>
    <mergeCell ref="N175:AI176"/>
    <mergeCell ref="AJ175:AS176"/>
    <mergeCell ref="AT175:BO176"/>
    <mergeCell ref="D186:BO186"/>
    <mergeCell ref="AJ188:AS189"/>
    <mergeCell ref="AT188:BO189"/>
    <mergeCell ref="AJ190:AS191"/>
    <mergeCell ref="AT190:BO191"/>
  </mergeCells>
  <hyperlinks>
    <hyperlink ref="AT156" r:id="rId1"/>
    <hyperlink ref="N175" r:id="rId2"/>
  </hyperlinks>
  <printOptions horizontalCentered="1"/>
  <pageMargins left="0" right="0" top="0.3937007874015748" bottom="0.1968503937007874" header="0.31496062992125984" footer="0.31496062992125984"/>
  <pageSetup paperSize="12" orientation="portrait" horizontalDpi="4294967295" verticalDpi="0" scale="98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BO55"/>
  <sheetViews>
    <sheetView workbookViewId="0" showGridLines="0" zoomScale="115" zoomScaleNormal="115" view="pageBreakPreview">
      <selection activeCell="AJ30" sqref="AJ30"/>
    </sheetView>
  </sheetViews>
  <sheetFormatPr defaultRowHeight="21.95" outlineLevelRow="0" outlineLevelCol="0" x14ac:dyDescent="0" defaultColWidth="1.625" customHeight="1"/>
  <cols>
    <col min="1" max="7" width="1.625" style="1" customWidth="1"/>
    <col min="8" max="11" width="1.75" style="1" customWidth="1"/>
    <col min="12" max="16384" width="1.625" style="1" customWidth="1"/>
  </cols>
  <sheetData>
    <row r="3" ht="9.95" customHeight="1" spans="4:63" x14ac:dyDescent="0.25">
      <c r="D3" s="68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</row>
    <row r="4" ht="21.95" customHeight="1" spans="4:67" x14ac:dyDescent="0.25">
      <c r="D4" s="70" t="s">
        <v>235</v>
      </c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2"/>
    </row>
    <row r="5" ht="21.95" customHeight="1" spans="4:67" x14ac:dyDescent="0.25">
      <c r="D5" s="73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5"/>
    </row>
    <row r="6" ht="21.95" customHeight="1" spans="4:67" x14ac:dyDescent="0.25"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</row>
    <row r="7" ht="21.95" customHeight="1" spans="4:67" x14ac:dyDescent="0.25">
      <c r="D7" s="76" t="s">
        <v>185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</row>
    <row r="8" ht="18.95" customHeight="1" spans="4:67" x14ac:dyDescent="0.25">
      <c r="D8" s="77" t="s">
        <v>186</v>
      </c>
      <c r="E8" s="78"/>
      <c r="F8" s="78"/>
      <c r="G8" s="78"/>
      <c r="H8" s="78"/>
      <c r="I8" s="78"/>
      <c r="J8" s="78"/>
      <c r="K8" s="78"/>
      <c r="L8" s="78"/>
      <c r="M8" s="78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78" t="s">
        <v>188</v>
      </c>
      <c r="AK8" s="78"/>
      <c r="AL8" s="78"/>
      <c r="AM8" s="78"/>
      <c r="AN8" s="78"/>
      <c r="AO8" s="78"/>
      <c r="AP8" s="78"/>
      <c r="AQ8" s="78"/>
      <c r="AR8" s="78"/>
      <c r="AS8" s="78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</row>
    <row r="9" ht="18.95" customHeight="1" spans="4:67" x14ac:dyDescent="0.25">
      <c r="D9" s="78"/>
      <c r="E9" s="78"/>
      <c r="F9" s="78"/>
      <c r="G9" s="78"/>
      <c r="H9" s="78"/>
      <c r="I9" s="78"/>
      <c r="J9" s="78"/>
      <c r="K9" s="78"/>
      <c r="L9" s="78"/>
      <c r="M9" s="78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</row>
    <row r="10" ht="18.95" customHeight="1" spans="4:67" x14ac:dyDescent="0.25">
      <c r="D10" s="78" t="s">
        <v>190</v>
      </c>
      <c r="E10" s="78"/>
      <c r="F10" s="78"/>
      <c r="G10" s="78"/>
      <c r="H10" s="78"/>
      <c r="I10" s="78"/>
      <c r="J10" s="78"/>
      <c r="K10" s="78"/>
      <c r="L10" s="78"/>
      <c r="M10" s="78"/>
      <c r="N10" s="124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78" t="s">
        <v>192</v>
      </c>
      <c r="AK10" s="78"/>
      <c r="AL10" s="78"/>
      <c r="AM10" s="78"/>
      <c r="AN10" s="78"/>
      <c r="AO10" s="78"/>
      <c r="AP10" s="78"/>
      <c r="AQ10" s="78"/>
      <c r="AR10" s="78"/>
      <c r="AS10" s="78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</row>
    <row r="11" ht="18.95" customHeight="1" spans="4:67" x14ac:dyDescent="0.25"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</row>
    <row r="12" ht="18.95" customHeight="1" spans="4:67" x14ac:dyDescent="0.25">
      <c r="D12" s="78" t="s">
        <v>194</v>
      </c>
      <c r="E12" s="78"/>
      <c r="F12" s="78"/>
      <c r="G12" s="78"/>
      <c r="H12" s="78"/>
      <c r="I12" s="78"/>
      <c r="J12" s="78"/>
      <c r="K12" s="78"/>
      <c r="L12" s="78"/>
      <c r="M12" s="78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78" t="s">
        <v>196</v>
      </c>
      <c r="AK12" s="78"/>
      <c r="AL12" s="78"/>
      <c r="AM12" s="78"/>
      <c r="AN12" s="78"/>
      <c r="AO12" s="78"/>
      <c r="AP12" s="78"/>
      <c r="AQ12" s="78"/>
      <c r="AR12" s="78"/>
      <c r="AS12" s="78"/>
      <c r="AT12" s="102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</row>
    <row r="13" ht="18.95" customHeight="1" spans="4:67" x14ac:dyDescent="0.25"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</row>
    <row r="14" ht="21.95" customHeight="1" spans="4:67" x14ac:dyDescent="0.25">
      <c r="D14" s="82" t="s">
        <v>198</v>
      </c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</row>
    <row r="15" ht="21.95" customHeight="1" spans="4:67" x14ac:dyDescent="0.25"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</row>
    <row r="16" ht="21.95" customHeight="1" spans="4:67" x14ac:dyDescent="0.25">
      <c r="D16" s="76" t="s">
        <v>199</v>
      </c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57" t="s">
        <v>200</v>
      </c>
    </row>
    <row r="17" ht="18.95" customHeight="1" spans="4:67" x14ac:dyDescent="0.25">
      <c r="D17" s="77" t="s">
        <v>201</v>
      </c>
      <c r="E17" s="78"/>
      <c r="F17" s="78"/>
      <c r="G17" s="78"/>
      <c r="H17" s="78"/>
      <c r="I17" s="78"/>
      <c r="J17" s="78"/>
      <c r="K17" s="78"/>
      <c r="L17" s="78"/>
      <c r="M17" s="78"/>
      <c r="N17" s="124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5" t="s">
        <v>203</v>
      </c>
      <c r="AK17" s="125"/>
      <c r="AL17" s="125"/>
      <c r="AM17" s="125"/>
      <c r="AN17" s="125"/>
      <c r="AO17" s="125"/>
      <c r="AP17" s="125"/>
      <c r="AQ17" s="125"/>
      <c r="AR17" s="125"/>
      <c r="AS17" s="125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</row>
    <row r="18" ht="18.95" customHeight="1" spans="4:67" x14ac:dyDescent="0.25"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3"/>
    </row>
    <row r="19" ht="6.95" customHeight="1" spans="4:67" x14ac:dyDescent="0.25">
      <c r="D19" s="83" t="s">
        <v>205</v>
      </c>
      <c r="E19" s="84"/>
      <c r="F19" s="84"/>
      <c r="G19" s="84"/>
      <c r="H19" s="84"/>
      <c r="I19" s="84"/>
      <c r="J19" s="84"/>
      <c r="K19" s="84"/>
      <c r="L19" s="84"/>
      <c r="M19" s="85"/>
      <c r="N19" s="126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8"/>
    </row>
    <row r="20" ht="21.95" customHeight="1" spans="4:67" x14ac:dyDescent="0.25">
      <c r="D20" s="88"/>
      <c r="E20" s="89"/>
      <c r="F20" s="89"/>
      <c r="G20" s="89"/>
      <c r="H20" s="89"/>
      <c r="I20" s="89"/>
      <c r="J20" s="89"/>
      <c r="K20" s="89"/>
      <c r="L20" s="89"/>
      <c r="M20" s="90"/>
      <c r="N20" s="129"/>
      <c r="O20" s="130" t="s">
        <v>236</v>
      </c>
      <c r="P20" s="130"/>
      <c r="Q20" s="130"/>
      <c r="R20" s="130"/>
      <c r="S20" s="130"/>
      <c r="T20" s="130"/>
      <c r="U20" s="130"/>
      <c r="V20" s="130"/>
      <c r="W20" s="130"/>
      <c r="X20" s="130"/>
      <c r="Y20" s="130" t="s">
        <v>207</v>
      </c>
      <c r="Z20" s="130"/>
      <c r="AA20" s="130"/>
      <c r="AB20" s="130"/>
      <c r="AC20" s="130"/>
      <c r="AD20" s="130"/>
      <c r="AE20" s="130"/>
      <c r="AF20" s="130"/>
      <c r="AG20" s="130"/>
      <c r="AH20" s="130"/>
      <c r="AI20" s="130" t="s">
        <v>208</v>
      </c>
      <c r="AJ20" s="130"/>
      <c r="AK20" s="130"/>
      <c r="AL20" s="130"/>
      <c r="AM20" s="130"/>
      <c r="AN20" s="130"/>
      <c r="AO20" s="130"/>
      <c r="AP20" s="130"/>
      <c r="AQ20" s="130"/>
      <c r="AR20" s="130"/>
      <c r="AS20" s="130" t="s">
        <v>209</v>
      </c>
      <c r="AT20" s="130"/>
      <c r="AU20" s="130"/>
      <c r="AV20" s="130"/>
      <c r="AW20" s="130"/>
      <c r="AX20" s="130"/>
      <c r="AY20" s="130"/>
      <c r="AZ20" s="130"/>
      <c r="BA20" s="130"/>
      <c r="BB20" s="130"/>
      <c r="BC20" s="129"/>
      <c r="BD20" s="129"/>
      <c r="BE20" s="129"/>
      <c r="BF20" s="129"/>
      <c r="BG20" s="129"/>
      <c r="BH20" s="129"/>
      <c r="BI20" s="129"/>
      <c r="BJ20" s="129"/>
      <c r="BK20" s="129"/>
      <c r="BL20" s="129"/>
      <c r="BM20" s="129"/>
      <c r="BN20" s="129"/>
      <c r="BO20" s="131"/>
    </row>
    <row r="21" ht="21.95" customHeight="1" spans="4:67" x14ac:dyDescent="0.25">
      <c r="D21" s="88"/>
      <c r="E21" s="89"/>
      <c r="F21" s="89"/>
      <c r="G21" s="89"/>
      <c r="H21" s="89"/>
      <c r="I21" s="89"/>
      <c r="J21" s="89"/>
      <c r="K21" s="89"/>
      <c r="L21" s="89"/>
      <c r="M21" s="90"/>
      <c r="N21" s="129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2"/>
      <c r="AJ21" s="133"/>
      <c r="AK21" s="133"/>
      <c r="AL21" s="133"/>
      <c r="AM21" s="133"/>
      <c r="AN21" s="133"/>
      <c r="AO21" s="133"/>
      <c r="AP21" s="133"/>
      <c r="AQ21" s="133"/>
      <c r="AR21" s="134"/>
      <c r="AS21" s="135"/>
      <c r="AT21" s="136"/>
      <c r="AU21" s="136"/>
      <c r="AV21" s="136"/>
      <c r="AW21" s="136"/>
      <c r="AX21" s="136"/>
      <c r="AY21" s="136"/>
      <c r="AZ21" s="136"/>
      <c r="BA21" s="136"/>
      <c r="BB21" s="137"/>
      <c r="BC21" s="129"/>
      <c r="BD21" s="129"/>
      <c r="BE21" s="129"/>
      <c r="BF21" s="129"/>
      <c r="BG21" s="129"/>
      <c r="BH21" s="129"/>
      <c r="BI21" s="129"/>
      <c r="BJ21" s="129"/>
      <c r="BK21" s="129"/>
      <c r="BL21" s="129"/>
      <c r="BM21" s="129"/>
      <c r="BN21" s="129"/>
      <c r="BO21" s="131"/>
    </row>
    <row r="22" ht="21.95" customHeight="1" spans="4:67" x14ac:dyDescent="0.25">
      <c r="D22" s="88"/>
      <c r="E22" s="89"/>
      <c r="F22" s="89"/>
      <c r="G22" s="89"/>
      <c r="H22" s="89"/>
      <c r="I22" s="89"/>
      <c r="J22" s="89"/>
      <c r="K22" s="89"/>
      <c r="L22" s="89"/>
      <c r="M22" s="90"/>
      <c r="N22" s="129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2"/>
      <c r="AJ22" s="133"/>
      <c r="AK22" s="133"/>
      <c r="AL22" s="133"/>
      <c r="AM22" s="133"/>
      <c r="AN22" s="133"/>
      <c r="AO22" s="133"/>
      <c r="AP22" s="133"/>
      <c r="AQ22" s="133"/>
      <c r="AR22" s="134"/>
      <c r="AS22" s="135"/>
      <c r="AT22" s="136"/>
      <c r="AU22" s="136"/>
      <c r="AV22" s="136"/>
      <c r="AW22" s="136"/>
      <c r="AX22" s="136"/>
      <c r="AY22" s="136"/>
      <c r="AZ22" s="136"/>
      <c r="BA22" s="136"/>
      <c r="BB22" s="137"/>
      <c r="BC22" s="129"/>
      <c r="BD22" s="129"/>
      <c r="BE22" s="129"/>
      <c r="BF22" s="129"/>
      <c r="BG22" s="129"/>
      <c r="BH22" s="129"/>
      <c r="BI22" s="129"/>
      <c r="BJ22" s="129"/>
      <c r="BK22" s="129"/>
      <c r="BL22" s="129"/>
      <c r="BM22" s="129"/>
      <c r="BN22" s="129"/>
      <c r="BO22" s="131"/>
    </row>
    <row r="23" ht="21.95" customHeight="1" spans="4:67" x14ac:dyDescent="0.25">
      <c r="D23" s="88"/>
      <c r="E23" s="89"/>
      <c r="F23" s="89"/>
      <c r="G23" s="89"/>
      <c r="H23" s="89"/>
      <c r="I23" s="89"/>
      <c r="J23" s="89"/>
      <c r="K23" s="89"/>
      <c r="L23" s="89"/>
      <c r="M23" s="90"/>
      <c r="N23" s="129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2"/>
      <c r="AJ23" s="133"/>
      <c r="AK23" s="133"/>
      <c r="AL23" s="133"/>
      <c r="AM23" s="133"/>
      <c r="AN23" s="133"/>
      <c r="AO23" s="133"/>
      <c r="AP23" s="133"/>
      <c r="AQ23" s="133"/>
      <c r="AR23" s="134"/>
      <c r="AS23" s="135"/>
      <c r="AT23" s="136"/>
      <c r="AU23" s="136"/>
      <c r="AV23" s="136"/>
      <c r="AW23" s="136"/>
      <c r="AX23" s="136"/>
      <c r="AY23" s="136"/>
      <c r="AZ23" s="136"/>
      <c r="BA23" s="136"/>
      <c r="BB23" s="137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31"/>
    </row>
    <row r="24" ht="21.95" customHeight="1" spans="4:67" x14ac:dyDescent="0.25">
      <c r="D24" s="88"/>
      <c r="E24" s="89"/>
      <c r="F24" s="89"/>
      <c r="G24" s="89"/>
      <c r="H24" s="89"/>
      <c r="I24" s="89"/>
      <c r="J24" s="89"/>
      <c r="K24" s="89"/>
      <c r="L24" s="89"/>
      <c r="M24" s="90"/>
      <c r="N24" s="129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2"/>
      <c r="AJ24" s="133"/>
      <c r="AK24" s="133"/>
      <c r="AL24" s="133"/>
      <c r="AM24" s="133"/>
      <c r="AN24" s="133"/>
      <c r="AO24" s="133"/>
      <c r="AP24" s="133"/>
      <c r="AQ24" s="133"/>
      <c r="AR24" s="134"/>
      <c r="AS24" s="135"/>
      <c r="AT24" s="136"/>
      <c r="AU24" s="136"/>
      <c r="AV24" s="136"/>
      <c r="AW24" s="136"/>
      <c r="AX24" s="136"/>
      <c r="AY24" s="136"/>
      <c r="AZ24" s="136"/>
      <c r="BA24" s="136"/>
      <c r="BB24" s="137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31"/>
    </row>
    <row r="25" ht="21.95" customHeight="1" spans="4:67" x14ac:dyDescent="0.25">
      <c r="D25" s="88"/>
      <c r="E25" s="89"/>
      <c r="F25" s="89"/>
      <c r="G25" s="89"/>
      <c r="H25" s="89"/>
      <c r="I25" s="89"/>
      <c r="J25" s="89"/>
      <c r="K25" s="89"/>
      <c r="L25" s="89"/>
      <c r="M25" s="90"/>
      <c r="N25" s="129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8"/>
      <c r="Z25" s="130"/>
      <c r="AA25" s="130"/>
      <c r="AB25" s="130"/>
      <c r="AC25" s="130"/>
      <c r="AD25" s="130"/>
      <c r="AE25" s="130"/>
      <c r="AF25" s="130"/>
      <c r="AG25" s="130"/>
      <c r="AH25" s="130"/>
      <c r="AI25" s="132"/>
      <c r="AJ25" s="133"/>
      <c r="AK25" s="133"/>
      <c r="AL25" s="133"/>
      <c r="AM25" s="133"/>
      <c r="AN25" s="133"/>
      <c r="AO25" s="133"/>
      <c r="AP25" s="133"/>
      <c r="AQ25" s="133"/>
      <c r="AR25" s="134"/>
      <c r="AS25" s="135"/>
      <c r="AT25" s="136"/>
      <c r="AU25" s="136"/>
      <c r="AV25" s="136"/>
      <c r="AW25" s="136"/>
      <c r="AX25" s="136"/>
      <c r="AY25" s="136"/>
      <c r="AZ25" s="136"/>
      <c r="BA25" s="136"/>
      <c r="BB25" s="137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31"/>
    </row>
    <row r="26" ht="21.95" customHeight="1" spans="4:67" x14ac:dyDescent="0.25">
      <c r="D26" s="88"/>
      <c r="E26" s="89"/>
      <c r="F26" s="89"/>
      <c r="G26" s="89"/>
      <c r="H26" s="89"/>
      <c r="I26" s="89"/>
      <c r="J26" s="89"/>
      <c r="K26" s="89"/>
      <c r="L26" s="89"/>
      <c r="M26" s="90"/>
      <c r="N26" s="129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8"/>
      <c r="Z26" s="130"/>
      <c r="AA26" s="130"/>
      <c r="AB26" s="130"/>
      <c r="AC26" s="130"/>
      <c r="AD26" s="130"/>
      <c r="AE26" s="130"/>
      <c r="AF26" s="130"/>
      <c r="AG26" s="130"/>
      <c r="AH26" s="130"/>
      <c r="AI26" s="132"/>
      <c r="AJ26" s="133"/>
      <c r="AK26" s="133"/>
      <c r="AL26" s="133"/>
      <c r="AM26" s="133"/>
      <c r="AN26" s="133"/>
      <c r="AO26" s="133"/>
      <c r="AP26" s="133"/>
      <c r="AQ26" s="133"/>
      <c r="AR26" s="134"/>
      <c r="AS26" s="135"/>
      <c r="AT26" s="136"/>
      <c r="AU26" s="136"/>
      <c r="AV26" s="136"/>
      <c r="AW26" s="136"/>
      <c r="AX26" s="136"/>
      <c r="AY26" s="136"/>
      <c r="AZ26" s="136"/>
      <c r="BA26" s="136"/>
      <c r="BB26" s="137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31"/>
    </row>
    <row r="27" ht="21.95" customHeight="1" spans="4:67" x14ac:dyDescent="0.25">
      <c r="D27" s="88"/>
      <c r="E27" s="89"/>
      <c r="F27" s="89"/>
      <c r="G27" s="89"/>
      <c r="H27" s="89"/>
      <c r="I27" s="89"/>
      <c r="J27" s="89"/>
      <c r="K27" s="89"/>
      <c r="L27" s="89"/>
      <c r="M27" s="90"/>
      <c r="N27" s="129"/>
      <c r="O27" s="132" t="s">
        <v>237</v>
      </c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4"/>
      <c r="AS27" s="135"/>
      <c r="AT27" s="136"/>
      <c r="AU27" s="136"/>
      <c r="AV27" s="136"/>
      <c r="AW27" s="136"/>
      <c r="AX27" s="136"/>
      <c r="AY27" s="136"/>
      <c r="AZ27" s="136"/>
      <c r="BA27" s="136"/>
      <c r="BB27" s="137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31"/>
    </row>
    <row r="28" ht="21.95" customHeight="1" spans="4:67" x14ac:dyDescent="0.25">
      <c r="D28" s="88"/>
      <c r="E28" s="89"/>
      <c r="F28" s="89"/>
      <c r="G28" s="89"/>
      <c r="H28" s="89"/>
      <c r="I28" s="89"/>
      <c r="J28" s="89"/>
      <c r="K28" s="89"/>
      <c r="L28" s="89"/>
      <c r="M28" s="90"/>
      <c r="N28" s="129"/>
      <c r="O28" s="139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31"/>
    </row>
    <row r="29" ht="6.95" customHeight="1" spans="4:67" x14ac:dyDescent="0.25">
      <c r="D29" s="95"/>
      <c r="E29" s="96"/>
      <c r="F29" s="96"/>
      <c r="G29" s="96"/>
      <c r="H29" s="96"/>
      <c r="I29" s="96"/>
      <c r="J29" s="96"/>
      <c r="K29" s="96"/>
      <c r="L29" s="96"/>
      <c r="M29" s="97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2"/>
    </row>
    <row r="30" ht="18.95" customHeight="1" spans="4:67" x14ac:dyDescent="0.25">
      <c r="D30" s="77" t="s">
        <v>216</v>
      </c>
      <c r="E30" s="78"/>
      <c r="F30" s="78"/>
      <c r="G30" s="78"/>
      <c r="H30" s="78"/>
      <c r="I30" s="78"/>
      <c r="J30" s="78"/>
      <c r="K30" s="78"/>
      <c r="L30" s="78"/>
      <c r="M30" s="78"/>
      <c r="N30" s="124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43" t="s">
        <v>218</v>
      </c>
      <c r="AK30" s="125"/>
      <c r="AL30" s="125"/>
      <c r="AM30" s="125"/>
      <c r="AN30" s="125"/>
      <c r="AO30" s="125"/>
      <c r="AP30" s="125"/>
      <c r="AQ30" s="125"/>
      <c r="AR30" s="125"/>
      <c r="AS30" s="125"/>
      <c r="AT30" s="124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/>
      <c r="BN30" s="123"/>
      <c r="BO30" s="123"/>
    </row>
    <row r="31" ht="18.95" customHeight="1" spans="4:67" x14ac:dyDescent="0.25"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3"/>
      <c r="BI31" s="123"/>
      <c r="BJ31" s="123"/>
      <c r="BK31" s="123"/>
      <c r="BL31" s="123"/>
      <c r="BM31" s="123"/>
      <c r="BN31" s="123"/>
      <c r="BO31" s="123"/>
    </row>
    <row r="32" ht="18.95" customHeight="1" spans="4:67" x14ac:dyDescent="0.25">
      <c r="D32" s="77" t="s">
        <v>219</v>
      </c>
      <c r="E32" s="78"/>
      <c r="F32" s="78"/>
      <c r="G32" s="78"/>
      <c r="H32" s="78"/>
      <c r="I32" s="78"/>
      <c r="J32" s="78"/>
      <c r="K32" s="78"/>
      <c r="L32" s="78"/>
      <c r="M32" s="78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5" t="s">
        <v>221</v>
      </c>
      <c r="AK32" s="125"/>
      <c r="AL32" s="125"/>
      <c r="AM32" s="125"/>
      <c r="AN32" s="125"/>
      <c r="AO32" s="125"/>
      <c r="AP32" s="125"/>
      <c r="AQ32" s="125"/>
      <c r="AR32" s="125"/>
      <c r="AS32" s="125"/>
      <c r="AT32" s="123" t="s">
        <v>238</v>
      </c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</row>
    <row r="33" ht="18.95" customHeight="1" spans="4:67" x14ac:dyDescent="0.25"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123"/>
      <c r="BM33" s="123"/>
      <c r="BN33" s="123"/>
      <c r="BO33" s="123"/>
    </row>
    <row r="34" ht="18.95" customHeight="1" spans="4:67" x14ac:dyDescent="0.25">
      <c r="D34" s="83" t="s">
        <v>239</v>
      </c>
      <c r="E34" s="84"/>
      <c r="F34" s="84"/>
      <c r="G34" s="84"/>
      <c r="H34" s="85"/>
      <c r="I34" s="144"/>
      <c r="J34" s="145"/>
      <c r="K34" s="145"/>
      <c r="L34" s="145"/>
      <c r="M34" s="146"/>
      <c r="N34" s="147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9"/>
      <c r="AJ34" s="78" t="s">
        <v>225</v>
      </c>
      <c r="AK34" s="78"/>
      <c r="AL34" s="78"/>
      <c r="AM34" s="78"/>
      <c r="AN34" s="78"/>
      <c r="AO34" s="78"/>
      <c r="AP34" s="78"/>
      <c r="AQ34" s="78"/>
      <c r="AR34" s="78"/>
      <c r="AS34" s="78"/>
      <c r="AT34" s="124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</row>
    <row r="35" ht="18.95" customHeight="1" spans="4:67" x14ac:dyDescent="0.25">
      <c r="D35" s="95"/>
      <c r="E35" s="96"/>
      <c r="F35" s="96"/>
      <c r="G35" s="96"/>
      <c r="H35" s="97"/>
      <c r="I35" s="144" t="s">
        <v>240</v>
      </c>
      <c r="J35" s="145"/>
      <c r="K35" s="145"/>
      <c r="L35" s="145"/>
      <c r="M35" s="146"/>
      <c r="N35" s="147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9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</row>
    <row r="36" ht="21.95" customHeight="1" spans="4:67" x14ac:dyDescent="0.25"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</row>
    <row r="37" ht="21.95" customHeight="1" spans="4:67" x14ac:dyDescent="0.25">
      <c r="D37" s="82" t="s">
        <v>227</v>
      </c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</row>
    <row r="38" ht="9.75" customHeight="1" spans="4:67" x14ac:dyDescent="0.25"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</row>
    <row r="39" ht="21.95" customHeight="1" spans="4:67" x14ac:dyDescent="0.25">
      <c r="D39" s="82" t="s">
        <v>228</v>
      </c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</row>
    <row r="40" ht="9.75" customHeight="1" spans="4:67" x14ac:dyDescent="0.25"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</row>
    <row r="41" ht="21.95" customHeight="1" spans="4:67" x14ac:dyDescent="0.25">
      <c r="D41" s="82" t="s">
        <v>229</v>
      </c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</row>
    <row r="42" ht="9.75" customHeight="1" spans="4:67" x14ac:dyDescent="0.25"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</row>
    <row r="43" ht="21.95" customHeight="1" spans="4:67" x14ac:dyDescent="0.25">
      <c r="D43" s="82" t="s">
        <v>230</v>
      </c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</row>
    <row r="44" ht="21.95" customHeight="1" spans="4:67" x14ac:dyDescent="0.25"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</row>
    <row r="45" ht="21.95" customHeight="1" spans="4:67" x14ac:dyDescent="0.25">
      <c r="D45" s="103" t="s">
        <v>231</v>
      </c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3"/>
      <c r="BN45" s="103"/>
      <c r="BO45" s="103"/>
    </row>
    <row r="46" ht="21.95" customHeight="1" spans="4:67" x14ac:dyDescent="0.25"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150"/>
    </row>
    <row r="47" ht="21" customHeight="1" spans="4:67" x14ac:dyDescent="0.25"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104" t="s">
        <v>186</v>
      </c>
      <c r="AK47" s="105"/>
      <c r="AL47" s="105"/>
      <c r="AM47" s="105"/>
      <c r="AN47" s="105"/>
      <c r="AO47" s="105"/>
      <c r="AP47" s="105"/>
      <c r="AQ47" s="105"/>
      <c r="AR47" s="105"/>
      <c r="AS47" s="106"/>
      <c r="AT47" s="151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  <c r="BK47" s="152"/>
      <c r="BL47" s="152"/>
      <c r="BM47" s="152"/>
      <c r="BN47" s="152"/>
      <c r="BO47" s="153"/>
    </row>
    <row r="48" ht="21" customHeight="1" spans="4:67" x14ac:dyDescent="0.25"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110"/>
      <c r="AK48" s="111"/>
      <c r="AL48" s="111"/>
      <c r="AM48" s="111"/>
      <c r="AN48" s="111"/>
      <c r="AO48" s="111"/>
      <c r="AP48" s="111"/>
      <c r="AQ48" s="111"/>
      <c r="AR48" s="111"/>
      <c r="AS48" s="112"/>
      <c r="AT48" s="154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6"/>
    </row>
    <row r="49" ht="21" customHeight="1" spans="4:67" x14ac:dyDescent="0.25"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104" t="s">
        <v>233</v>
      </c>
      <c r="AK49" s="105"/>
      <c r="AL49" s="105"/>
      <c r="AM49" s="105"/>
      <c r="AN49" s="105"/>
      <c r="AO49" s="105"/>
      <c r="AP49" s="105"/>
      <c r="AQ49" s="105"/>
      <c r="AR49" s="105"/>
      <c r="AS49" s="106"/>
      <c r="AT49" s="116" t="s">
        <v>241</v>
      </c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17"/>
      <c r="BG49" s="117"/>
      <c r="BH49" s="117"/>
      <c r="BI49" s="117"/>
      <c r="BJ49" s="117"/>
      <c r="BK49" s="117"/>
      <c r="BL49" s="117"/>
      <c r="BM49" s="117"/>
      <c r="BN49" s="117"/>
      <c r="BO49" s="118"/>
    </row>
    <row r="50" ht="21" customHeight="1" spans="4:67" x14ac:dyDescent="0.25"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110"/>
      <c r="AK50" s="111"/>
      <c r="AL50" s="111"/>
      <c r="AM50" s="111"/>
      <c r="AN50" s="111"/>
      <c r="AO50" s="111"/>
      <c r="AP50" s="111"/>
      <c r="AQ50" s="111"/>
      <c r="AR50" s="111"/>
      <c r="AS50" s="112"/>
      <c r="AT50" s="119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1"/>
    </row>
    <row r="51" ht="21.95" customHeight="1" spans="3:66" x14ac:dyDescent="0.25"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</row>
    <row r="54" ht="21.95" customHeight="1" spans="35:41" x14ac:dyDescent="0.25">
      <c r="AI54" s="157"/>
      <c r="AJ54" s="157"/>
      <c r="AK54" s="157"/>
      <c r="AL54" s="157"/>
      <c r="AM54" s="157"/>
      <c r="AN54" s="157"/>
      <c r="AO54" s="157"/>
    </row>
    <row r="55" ht="21.95" customHeight="1" spans="35:41" x14ac:dyDescent="0.25">
      <c r="AI55" s="157"/>
      <c r="AJ55" s="157"/>
      <c r="AK55" s="157"/>
      <c r="AL55" s="157"/>
      <c r="AM55" s="157"/>
      <c r="AN55" s="157"/>
      <c r="AO55" s="157"/>
    </row>
  </sheetData>
  <mergeCells count="69">
    <mergeCell ref="D4:BO5"/>
    <mergeCell ref="D8:M9"/>
    <mergeCell ref="N8:AI9"/>
    <mergeCell ref="AJ8:AS9"/>
    <mergeCell ref="AT8:BO9"/>
    <mergeCell ref="D10:M11"/>
    <mergeCell ref="N10:AI11"/>
    <mergeCell ref="AJ10:AS11"/>
    <mergeCell ref="AT10:BO11"/>
    <mergeCell ref="D12:M13"/>
    <mergeCell ref="N12:AI13"/>
    <mergeCell ref="AJ12:AS13"/>
    <mergeCell ref="AT12:BO13"/>
    <mergeCell ref="D17:M18"/>
    <mergeCell ref="N17:AI18"/>
    <mergeCell ref="AJ17:AS18"/>
    <mergeCell ref="AT17:BO18"/>
    <mergeCell ref="D19:M29"/>
    <mergeCell ref="O20:X20"/>
    <mergeCell ref="Y20:AH20"/>
    <mergeCell ref="AI20:AR20"/>
    <mergeCell ref="AS20:BB20"/>
    <mergeCell ref="O21:X21"/>
    <mergeCell ref="Y21:AH21"/>
    <mergeCell ref="AI21:AR21"/>
    <mergeCell ref="AS21:BB21"/>
    <mergeCell ref="O22:X22"/>
    <mergeCell ref="Y22:AH22"/>
    <mergeCell ref="AI22:AR22"/>
    <mergeCell ref="AS22:BB22"/>
    <mergeCell ref="O23:X23"/>
    <mergeCell ref="Y23:AH23"/>
    <mergeCell ref="AI23:AR23"/>
    <mergeCell ref="AS23:BB23"/>
    <mergeCell ref="O24:X24"/>
    <mergeCell ref="Y24:AH24"/>
    <mergeCell ref="AI24:AR24"/>
    <mergeCell ref="AS24:BB24"/>
    <mergeCell ref="O25:X25"/>
    <mergeCell ref="Y25:AH25"/>
    <mergeCell ref="AI25:AR25"/>
    <mergeCell ref="AS25:BB25"/>
    <mergeCell ref="O26:X26"/>
    <mergeCell ref="Y26:AH26"/>
    <mergeCell ref="AI26:AR26"/>
    <mergeCell ref="AS26:BB26"/>
    <mergeCell ref="O27:AR27"/>
    <mergeCell ref="AS27:BB27"/>
    <mergeCell ref="D30:M31"/>
    <mergeCell ref="N30:AI31"/>
    <mergeCell ref="AJ30:AS31"/>
    <mergeCell ref="AT30:BO31"/>
    <mergeCell ref="D32:M33"/>
    <mergeCell ref="N32:AI33"/>
    <mergeCell ref="AJ32:AS33"/>
    <mergeCell ref="AT32:BO33"/>
    <mergeCell ref="D34:H35"/>
    <mergeCell ref="I34:M34"/>
    <mergeCell ref="N34:AI34"/>
    <mergeCell ref="AJ34:AS35"/>
    <mergeCell ref="AT34:BO35"/>
    <mergeCell ref="I35:M35"/>
    <mergeCell ref="N35:AI35"/>
    <mergeCell ref="D45:BO45"/>
    <mergeCell ref="AJ47:AS48"/>
    <mergeCell ref="AT47:BO48"/>
    <mergeCell ref="AJ49:AS50"/>
    <mergeCell ref="AT49:BO50"/>
    <mergeCell ref="AI54:AO55"/>
  </mergeCells>
  <printOptions horizontalCentered="1"/>
  <pageMargins left="0" right="0" top="0.3937007874015748" bottom="0.1968503937007874" header="0.31496062992125984" footer="0.31496062992125984"/>
  <pageSetup paperSize="12" orientation="portrait" horizontalDpi="4294967295" verticalDpi="4294967295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광고 운영 가이드</vt:lpstr>
      <vt:lpstr>청약서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2026-02-25T01:01:04Z</cp:lastPrinted>
  <dcterms:created xsi:type="dcterms:W3CDTF">2025-01-22T23:38:40Z</dcterms:created>
  <dcterms:modified xsi:type="dcterms:W3CDTF">2026-07-14T02:44:27Z</dcterms:modified>
</cp:coreProperties>
</file>